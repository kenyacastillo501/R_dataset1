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340" windowHeight="8210"/>
  </bookViews>
  <sheets>
    <sheet name="Pollinator.Records" sheetId="1" r:id="rId1"/>
    <sheet name="Metadata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" i="1"/>
  <c r="P97" s="1"/>
  <c r="Q97" s="1"/>
  <c r="L96"/>
  <c r="P96" s="1"/>
  <c r="Q96" s="1"/>
  <c r="L95"/>
  <c r="P95" s="1"/>
  <c r="Q95" s="1"/>
  <c r="L94"/>
  <c r="P94" s="1"/>
  <c r="Q94" s="1"/>
  <c r="L93"/>
  <c r="P93" s="1"/>
  <c r="Q93" s="1"/>
  <c r="L92"/>
  <c r="P92" s="1"/>
  <c r="Q92" s="1"/>
  <c r="L91"/>
  <c r="P91" s="1"/>
  <c r="Q91" s="1"/>
  <c r="L90"/>
  <c r="P90" s="1"/>
  <c r="Q90" s="1"/>
  <c r="L89"/>
  <c r="P89" s="1"/>
  <c r="Q89" s="1"/>
  <c r="L88"/>
  <c r="P88" s="1"/>
  <c r="Q88" s="1"/>
  <c r="L87"/>
  <c r="P87" s="1"/>
  <c r="Q87" s="1"/>
  <c r="L86"/>
  <c r="P86" s="1"/>
  <c r="Q86" s="1"/>
  <c r="L85"/>
  <c r="P85" s="1"/>
  <c r="Q85" s="1"/>
  <c r="L84"/>
  <c r="P84" s="1"/>
  <c r="Q84" s="1"/>
  <c r="L83"/>
  <c r="P83" s="1"/>
  <c r="Q83" s="1"/>
  <c r="L82"/>
  <c r="P82" s="1"/>
  <c r="Q82" s="1"/>
  <c r="L81"/>
  <c r="P81" s="1"/>
  <c r="Q81" s="1"/>
  <c r="L80"/>
  <c r="P80" s="1"/>
  <c r="Q80" s="1"/>
  <c r="L79"/>
  <c r="P79" s="1"/>
  <c r="Q79" s="1"/>
  <c r="L78"/>
  <c r="P78" s="1"/>
  <c r="Q78" s="1"/>
  <c r="L77"/>
  <c r="P77" s="1"/>
  <c r="Q77" s="1"/>
  <c r="L76"/>
  <c r="P76" s="1"/>
  <c r="Q76" s="1"/>
  <c r="L75"/>
  <c r="P75" s="1"/>
  <c r="Q75" s="1"/>
  <c r="L74"/>
  <c r="P74" s="1"/>
  <c r="Q74" s="1"/>
  <c r="L57"/>
  <c r="P57" s="1"/>
  <c r="Q57" s="1"/>
  <c r="L58"/>
  <c r="P58" s="1"/>
  <c r="Q58" s="1"/>
  <c r="L59"/>
  <c r="P59" s="1"/>
  <c r="Q59" s="1"/>
  <c r="L60"/>
  <c r="P60" s="1"/>
  <c r="Q60" s="1"/>
  <c r="L61"/>
  <c r="P61" s="1"/>
  <c r="Q61" s="1"/>
  <c r="L51"/>
  <c r="L52"/>
  <c r="L53"/>
  <c r="P53" s="1"/>
  <c r="Q53" s="1"/>
  <c r="L54"/>
  <c r="L55"/>
  <c r="L56"/>
  <c r="P56" s="1"/>
  <c r="Q56" s="1"/>
  <c r="L62"/>
  <c r="L63"/>
  <c r="L64"/>
  <c r="L65"/>
  <c r="L66"/>
  <c r="L67"/>
  <c r="P67" s="1"/>
  <c r="Q67" s="1"/>
  <c r="L68"/>
  <c r="L69"/>
  <c r="L70"/>
  <c r="P70" s="1"/>
  <c r="Q70" s="1"/>
  <c r="L71"/>
  <c r="L72"/>
  <c r="L73"/>
  <c r="P73" s="1"/>
  <c r="Q73" s="1"/>
  <c r="L50"/>
  <c r="P50" s="1"/>
  <c r="Q50" s="1"/>
  <c r="P51"/>
  <c r="Q51" s="1"/>
  <c r="P52"/>
  <c r="Q52" s="1"/>
  <c r="P54"/>
  <c r="Q54" s="1"/>
  <c r="P55"/>
  <c r="Q55" s="1"/>
  <c r="P62"/>
  <c r="Q62" s="1"/>
  <c r="P63"/>
  <c r="Q63" s="1"/>
  <c r="P64"/>
  <c r="Q64" s="1"/>
  <c r="P65"/>
  <c r="Q65" s="1"/>
  <c r="P66"/>
  <c r="Q66" s="1"/>
  <c r="P68"/>
  <c r="Q68" s="1"/>
  <c r="P69"/>
  <c r="Q69" s="1"/>
  <c r="P71"/>
  <c r="Q71" s="1"/>
  <c r="P72"/>
  <c r="Q72" s="1"/>
  <c r="L49"/>
  <c r="P49" s="1"/>
  <c r="Q49" s="1"/>
  <c r="L48"/>
  <c r="P48" s="1"/>
  <c r="Q48" s="1"/>
  <c r="L47"/>
  <c r="P47" s="1"/>
  <c r="Q47" s="1"/>
  <c r="L46"/>
  <c r="P46" s="1"/>
  <c r="Q46" s="1"/>
  <c r="L45"/>
  <c r="P45" s="1"/>
  <c r="Q45" s="1"/>
  <c r="L44"/>
  <c r="P44" s="1"/>
  <c r="Q44" s="1"/>
  <c r="L43"/>
  <c r="P43" s="1"/>
  <c r="Q43" s="1"/>
  <c r="L42"/>
  <c r="P42" s="1"/>
  <c r="Q42" s="1"/>
  <c r="L41"/>
  <c r="P41" s="1"/>
  <c r="Q41" s="1"/>
  <c r="L40"/>
  <c r="P40" s="1"/>
  <c r="Q40" s="1"/>
  <c r="L39"/>
  <c r="P39" s="1"/>
  <c r="Q39" s="1"/>
  <c r="L38"/>
  <c r="P38" s="1"/>
  <c r="Q38" s="1"/>
  <c r="P36"/>
  <c r="P35"/>
  <c r="L37"/>
  <c r="P37" s="1"/>
  <c r="L36"/>
  <c r="L35"/>
  <c r="L34"/>
  <c r="P34" s="1"/>
  <c r="L33"/>
  <c r="P33" s="1"/>
  <c r="L32"/>
  <c r="P32" s="1"/>
  <c r="L31"/>
  <c r="P31" s="1"/>
  <c r="L30"/>
  <c r="P30" s="1"/>
  <c r="L29"/>
  <c r="P29" s="1"/>
  <c r="L28"/>
  <c r="P28" s="1"/>
  <c r="L27"/>
  <c r="P27" s="1"/>
  <c r="L26"/>
  <c r="P26" s="1"/>
  <c r="L25"/>
  <c r="P25" s="1"/>
  <c r="Q25" s="1"/>
  <c r="L24"/>
  <c r="P24" s="1"/>
  <c r="Q24" s="1"/>
  <c r="L23"/>
  <c r="P23" s="1"/>
  <c r="Q23" s="1"/>
  <c r="L22"/>
  <c r="P22" s="1"/>
  <c r="Q22" s="1"/>
  <c r="L21"/>
  <c r="P21" s="1"/>
  <c r="Q21" s="1"/>
  <c r="L20"/>
  <c r="P20" s="1"/>
  <c r="Q20" s="1"/>
  <c r="L19"/>
  <c r="P19" s="1"/>
  <c r="Q19" s="1"/>
  <c r="L18"/>
  <c r="P18" s="1"/>
  <c r="Q18" s="1"/>
  <c r="L17"/>
  <c r="P17" s="1"/>
  <c r="Q17" s="1"/>
  <c r="L16"/>
  <c r="P16" s="1"/>
  <c r="Q16" s="1"/>
  <c r="L15"/>
  <c r="P15" s="1"/>
  <c r="Q15" s="1"/>
  <c r="L14"/>
  <c r="P14" s="1"/>
  <c r="Q14" s="1"/>
  <c r="L10"/>
  <c r="P10" s="1"/>
  <c r="Q10" s="1"/>
  <c r="L11"/>
  <c r="P11" s="1"/>
  <c r="Q11" s="1"/>
  <c r="L12"/>
  <c r="P12" s="1"/>
  <c r="Q12" s="1"/>
  <c r="L13"/>
  <c r="P13" s="1"/>
  <c r="Q13" s="1"/>
  <c r="L9"/>
  <c r="P9" s="1"/>
  <c r="Q9" s="1"/>
  <c r="L5"/>
  <c r="P5" s="1"/>
  <c r="Q5" s="1"/>
  <c r="L6"/>
  <c r="P6" s="1"/>
  <c r="Q6" s="1"/>
  <c r="L7"/>
  <c r="P7" s="1"/>
  <c r="Q7" s="1"/>
  <c r="L8"/>
  <c r="P8" s="1"/>
  <c r="Q8" s="1"/>
  <c r="L3"/>
  <c r="P3" s="1"/>
  <c r="Q3" s="1"/>
  <c r="L4"/>
  <c r="P4" s="1"/>
  <c r="Q4" s="1"/>
  <c r="L2"/>
  <c r="P2" s="1"/>
  <c r="Q2" s="1"/>
  <c r="Q35" l="1"/>
  <c r="Q37"/>
  <c r="Q36"/>
  <c r="Q34"/>
  <c r="Q33"/>
  <c r="Q32"/>
  <c r="Q31"/>
  <c r="Q30"/>
  <c r="Q29"/>
  <c r="Q28"/>
  <c r="Q27"/>
  <c r="Q26"/>
</calcChain>
</file>

<file path=xl/sharedStrings.xml><?xml version="1.0" encoding="utf-8"?>
<sst xmlns="http://schemas.openxmlformats.org/spreadsheetml/2006/main" count="245" uniqueCount="43">
  <si>
    <t>date</t>
  </si>
  <si>
    <t>treatment</t>
  </si>
  <si>
    <t>planting</t>
  </si>
  <si>
    <t>site</t>
  </si>
  <si>
    <t>squash bees</t>
  </si>
  <si>
    <t>bumblebees</t>
  </si>
  <si>
    <t>honeybees</t>
  </si>
  <si>
    <t>sweat bees</t>
  </si>
  <si>
    <t>other</t>
  </si>
  <si>
    <t>total</t>
  </si>
  <si>
    <t xml:space="preserve">flowers </t>
  </si>
  <si>
    <t>male</t>
  </si>
  <si>
    <t>female</t>
  </si>
  <si>
    <t>observation</t>
  </si>
  <si>
    <t>wooster</t>
  </si>
  <si>
    <t>visits/flower</t>
  </si>
  <si>
    <t>visits/flower/min</t>
  </si>
  <si>
    <t>Not supplemented</t>
  </si>
  <si>
    <t>Supplemented</t>
  </si>
  <si>
    <t>sampling</t>
  </si>
  <si>
    <t>Column Name</t>
  </si>
  <si>
    <t>Description</t>
  </si>
  <si>
    <t>date of observation</t>
  </si>
  <si>
    <t>Supplemented with managed bees OR Not supplemented with managed bees</t>
  </si>
  <si>
    <t>field site</t>
  </si>
  <si>
    <t>set of samples</t>
  </si>
  <si>
    <t>number of squash bees observed</t>
  </si>
  <si>
    <t>number of bumble bees observed</t>
  </si>
  <si>
    <t>number of honeybees observed</t>
  </si>
  <si>
    <t>number of sweat bees observed</t>
  </si>
  <si>
    <t>number of other bees observed</t>
  </si>
  <si>
    <t>total number of bees observed</t>
  </si>
  <si>
    <t>number of flowers observed</t>
  </si>
  <si>
    <t>male flower</t>
  </si>
  <si>
    <t>female flower</t>
  </si>
  <si>
    <t>number of bee visits per flower</t>
  </si>
  <si>
    <t>number of bee visits per flower per minute</t>
  </si>
  <si>
    <t>crop cycle ~ proxy for bloom time</t>
  </si>
  <si>
    <t>number of observation</t>
  </si>
  <si>
    <t>squash.bees</t>
  </si>
  <si>
    <t>sweat.bees</t>
  </si>
  <si>
    <t>visits.flower</t>
  </si>
  <si>
    <t>visits.flower.min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</si>
</sst>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97"/>
  <sheetViews>
    <sheetView tabSelected="1" workbookViewId="0">
      <selection activeCell="P2" sqref="P2"/>
    </sheetView>
  </sheetViews>
  <sheetFormatPr defaultRowHeight="14"/>
  <cols>
    <col min="1" max="1" width="8.75" bestFit="1" customWidth="1"/>
    <col min="2" max="2" width="15.33203125" bestFit="1" customWidth="1"/>
    <col min="3" max="3" width="6.83203125" bestFit="1" customWidth="1"/>
    <col min="4" max="4" width="7.1640625" bestFit="1" customWidth="1"/>
    <col min="5" max="5" width="10.1640625" bestFit="1" customWidth="1"/>
    <col min="6" max="6" width="7.83203125" bestFit="1" customWidth="1"/>
    <col min="7" max="7" width="10.83203125" bestFit="1" customWidth="1"/>
    <col min="8" max="8" width="10.4140625" bestFit="1" customWidth="1"/>
    <col min="9" max="9" width="9.5" bestFit="1" customWidth="1"/>
    <col min="10" max="10" width="9.83203125" bestFit="1" customWidth="1"/>
    <col min="11" max="11" width="4.83203125" bestFit="1" customWidth="1"/>
    <col min="12" max="12" width="4.1640625" bestFit="1" customWidth="1"/>
    <col min="13" max="13" width="7" bestFit="1" customWidth="1"/>
    <col min="14" max="14" width="4.58203125" bestFit="1" customWidth="1"/>
    <col min="15" max="15" width="6.1640625" bestFit="1" customWidth="1"/>
    <col min="16" max="16" width="11.75" bestFit="1" customWidth="1"/>
    <col min="17" max="17" width="13.582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19</v>
      </c>
      <c r="G1" t="s">
        <v>39</v>
      </c>
      <c r="H1" t="s">
        <v>5</v>
      </c>
      <c r="I1" t="s">
        <v>6</v>
      </c>
      <c r="J1" t="s">
        <v>40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41</v>
      </c>
      <c r="Q1" t="s">
        <v>42</v>
      </c>
    </row>
    <row r="2" spans="1:17">
      <c r="A2" s="1">
        <v>45850</v>
      </c>
      <c r="B2" t="s">
        <v>18</v>
      </c>
      <c r="C2">
        <v>1</v>
      </c>
      <c r="D2" t="s">
        <v>14</v>
      </c>
      <c r="E2">
        <v>1</v>
      </c>
      <c r="F2">
        <v>1</v>
      </c>
      <c r="G2">
        <v>5</v>
      </c>
      <c r="H2">
        <v>0</v>
      </c>
      <c r="I2">
        <v>0</v>
      </c>
      <c r="J2">
        <v>0</v>
      </c>
      <c r="K2">
        <v>0</v>
      </c>
      <c r="L2">
        <f>SUM(G2:K2)</f>
        <v>5</v>
      </c>
      <c r="M2">
        <v>1</v>
      </c>
      <c r="N2">
        <v>1</v>
      </c>
      <c r="O2">
        <v>0</v>
      </c>
      <c r="P2">
        <f>L2/M2</f>
        <v>5</v>
      </c>
      <c r="Q2">
        <f>P2/3</f>
        <v>1.6666666666666667</v>
      </c>
    </row>
    <row r="3" spans="1:17">
      <c r="A3" s="1">
        <v>45850</v>
      </c>
      <c r="B3" t="s">
        <v>18</v>
      </c>
      <c r="C3">
        <v>1</v>
      </c>
      <c r="D3" t="s">
        <v>14</v>
      </c>
      <c r="E3">
        <v>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f t="shared" ref="L3:L4" si="0">SUM(G3:K3)</f>
        <v>1</v>
      </c>
      <c r="M3">
        <v>2</v>
      </c>
      <c r="N3">
        <v>1</v>
      </c>
      <c r="O3">
        <v>1</v>
      </c>
      <c r="P3">
        <f t="shared" ref="P3:P17" si="1">L3/M3</f>
        <v>0.5</v>
      </c>
      <c r="Q3">
        <f t="shared" ref="Q3:Q17" si="2">P3/3</f>
        <v>0.16666666666666666</v>
      </c>
    </row>
    <row r="4" spans="1:17">
      <c r="A4" s="1">
        <v>45850</v>
      </c>
      <c r="B4" t="s">
        <v>18</v>
      </c>
      <c r="C4">
        <v>1</v>
      </c>
      <c r="D4" t="s">
        <v>14</v>
      </c>
      <c r="E4">
        <v>3</v>
      </c>
      <c r="F4">
        <v>1</v>
      </c>
      <c r="G4">
        <v>15</v>
      </c>
      <c r="H4">
        <v>0</v>
      </c>
      <c r="I4">
        <v>0</v>
      </c>
      <c r="J4">
        <v>0</v>
      </c>
      <c r="K4">
        <v>0</v>
      </c>
      <c r="L4">
        <f t="shared" si="0"/>
        <v>15</v>
      </c>
      <c r="M4">
        <v>2</v>
      </c>
      <c r="N4">
        <v>2</v>
      </c>
      <c r="O4">
        <v>0</v>
      </c>
      <c r="P4">
        <f t="shared" si="1"/>
        <v>7.5</v>
      </c>
      <c r="Q4">
        <f t="shared" si="2"/>
        <v>2.5</v>
      </c>
    </row>
    <row r="5" spans="1:17">
      <c r="A5" s="1">
        <v>45850</v>
      </c>
      <c r="B5" t="s">
        <v>18</v>
      </c>
      <c r="C5">
        <v>1</v>
      </c>
      <c r="D5" t="s">
        <v>14</v>
      </c>
      <c r="E5">
        <v>4</v>
      </c>
      <c r="F5">
        <v>1</v>
      </c>
      <c r="G5">
        <v>5</v>
      </c>
      <c r="H5">
        <v>0</v>
      </c>
      <c r="I5">
        <v>0</v>
      </c>
      <c r="J5">
        <v>0</v>
      </c>
      <c r="K5">
        <v>0</v>
      </c>
      <c r="L5">
        <f t="shared" ref="L5:L8" si="3">SUM(G5:K5)</f>
        <v>5</v>
      </c>
      <c r="M5">
        <v>2</v>
      </c>
      <c r="N5">
        <v>1</v>
      </c>
      <c r="O5">
        <v>1</v>
      </c>
      <c r="P5">
        <f t="shared" si="1"/>
        <v>2.5</v>
      </c>
      <c r="Q5">
        <f t="shared" si="2"/>
        <v>0.83333333333333337</v>
      </c>
    </row>
    <row r="6" spans="1:17">
      <c r="A6" s="1">
        <v>45850</v>
      </c>
      <c r="B6" t="s">
        <v>18</v>
      </c>
      <c r="C6">
        <v>1</v>
      </c>
      <c r="D6" t="s">
        <v>14</v>
      </c>
      <c r="E6">
        <v>5</v>
      </c>
      <c r="F6">
        <v>1</v>
      </c>
      <c r="G6">
        <v>2</v>
      </c>
      <c r="H6">
        <v>0</v>
      </c>
      <c r="I6">
        <v>0</v>
      </c>
      <c r="J6">
        <v>0</v>
      </c>
      <c r="K6">
        <v>0</v>
      </c>
      <c r="L6">
        <f t="shared" si="3"/>
        <v>2</v>
      </c>
      <c r="M6">
        <v>2</v>
      </c>
      <c r="N6">
        <v>2</v>
      </c>
      <c r="O6">
        <v>0</v>
      </c>
      <c r="P6">
        <f t="shared" si="1"/>
        <v>1</v>
      </c>
      <c r="Q6">
        <f t="shared" si="2"/>
        <v>0.33333333333333331</v>
      </c>
    </row>
    <row r="7" spans="1:17">
      <c r="A7" s="1">
        <v>45850</v>
      </c>
      <c r="B7" t="s">
        <v>18</v>
      </c>
      <c r="C7">
        <v>1</v>
      </c>
      <c r="D7" t="s">
        <v>14</v>
      </c>
      <c r="E7">
        <v>6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f t="shared" si="3"/>
        <v>0</v>
      </c>
      <c r="M7">
        <v>3</v>
      </c>
      <c r="N7">
        <v>2</v>
      </c>
      <c r="O7">
        <v>1</v>
      </c>
      <c r="P7">
        <f t="shared" si="1"/>
        <v>0</v>
      </c>
      <c r="Q7">
        <f t="shared" si="2"/>
        <v>0</v>
      </c>
    </row>
    <row r="8" spans="1:17">
      <c r="A8" s="1">
        <v>45850</v>
      </c>
      <c r="B8" t="s">
        <v>18</v>
      </c>
      <c r="C8">
        <v>1</v>
      </c>
      <c r="D8" t="s">
        <v>14</v>
      </c>
      <c r="E8">
        <v>7</v>
      </c>
      <c r="F8">
        <v>1</v>
      </c>
      <c r="G8">
        <v>4</v>
      </c>
      <c r="H8">
        <v>0</v>
      </c>
      <c r="I8">
        <v>0</v>
      </c>
      <c r="J8">
        <v>0</v>
      </c>
      <c r="K8">
        <v>0</v>
      </c>
      <c r="L8">
        <f t="shared" si="3"/>
        <v>4</v>
      </c>
      <c r="M8">
        <v>2</v>
      </c>
      <c r="N8">
        <v>1</v>
      </c>
      <c r="O8">
        <v>1</v>
      </c>
      <c r="P8">
        <f t="shared" si="1"/>
        <v>2</v>
      </c>
      <c r="Q8">
        <f t="shared" si="2"/>
        <v>0.66666666666666663</v>
      </c>
    </row>
    <row r="9" spans="1:17">
      <c r="A9" s="1">
        <v>45850</v>
      </c>
      <c r="B9" t="s">
        <v>18</v>
      </c>
      <c r="C9">
        <v>1</v>
      </c>
      <c r="D9" t="s">
        <v>14</v>
      </c>
      <c r="E9">
        <v>8</v>
      </c>
      <c r="F9">
        <v>1</v>
      </c>
      <c r="G9">
        <v>8</v>
      </c>
      <c r="H9">
        <v>0</v>
      </c>
      <c r="I9">
        <v>1</v>
      </c>
      <c r="J9">
        <v>0</v>
      </c>
      <c r="K9">
        <v>0</v>
      </c>
      <c r="L9">
        <f t="shared" ref="L9" si="4">SUM(G9:K9)</f>
        <v>9</v>
      </c>
      <c r="M9">
        <v>2</v>
      </c>
      <c r="N9">
        <v>2</v>
      </c>
      <c r="O9">
        <v>0</v>
      </c>
      <c r="P9">
        <f t="shared" si="1"/>
        <v>4.5</v>
      </c>
      <c r="Q9">
        <f t="shared" si="2"/>
        <v>1.5</v>
      </c>
    </row>
    <row r="10" spans="1:17">
      <c r="A10" s="1">
        <v>45850</v>
      </c>
      <c r="B10" t="s">
        <v>18</v>
      </c>
      <c r="C10">
        <v>1</v>
      </c>
      <c r="D10" t="s">
        <v>14</v>
      </c>
      <c r="E10">
        <v>9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f t="shared" ref="L10:L17" si="5">SUM(G10:K10)</f>
        <v>1</v>
      </c>
      <c r="M10">
        <v>1</v>
      </c>
      <c r="N10">
        <v>1</v>
      </c>
      <c r="O10">
        <v>0</v>
      </c>
      <c r="P10">
        <f t="shared" si="1"/>
        <v>1</v>
      </c>
      <c r="Q10">
        <f t="shared" si="2"/>
        <v>0.33333333333333331</v>
      </c>
    </row>
    <row r="11" spans="1:17">
      <c r="A11" s="1">
        <v>45850</v>
      </c>
      <c r="B11" t="s">
        <v>18</v>
      </c>
      <c r="C11">
        <v>1</v>
      </c>
      <c r="D11" t="s">
        <v>14</v>
      </c>
      <c r="E11">
        <v>10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5"/>
        <v>0</v>
      </c>
      <c r="M11">
        <v>1</v>
      </c>
      <c r="N11">
        <v>1</v>
      </c>
      <c r="O11">
        <v>0</v>
      </c>
      <c r="P11">
        <f t="shared" si="1"/>
        <v>0</v>
      </c>
      <c r="Q11">
        <f t="shared" si="2"/>
        <v>0</v>
      </c>
    </row>
    <row r="12" spans="1:17">
      <c r="A12" s="1">
        <v>45850</v>
      </c>
      <c r="B12" t="s">
        <v>18</v>
      </c>
      <c r="C12">
        <v>1</v>
      </c>
      <c r="D12" t="s">
        <v>14</v>
      </c>
      <c r="E12">
        <v>11</v>
      </c>
      <c r="F12">
        <v>1</v>
      </c>
      <c r="G12">
        <v>7</v>
      </c>
      <c r="H12">
        <v>0</v>
      </c>
      <c r="I12">
        <v>0</v>
      </c>
      <c r="J12">
        <v>0</v>
      </c>
      <c r="K12">
        <v>0</v>
      </c>
      <c r="L12">
        <f t="shared" si="5"/>
        <v>7</v>
      </c>
      <c r="M12">
        <v>2</v>
      </c>
      <c r="N12">
        <v>1</v>
      </c>
      <c r="O12">
        <v>1</v>
      </c>
      <c r="P12">
        <f t="shared" si="1"/>
        <v>3.5</v>
      </c>
      <c r="Q12">
        <f t="shared" si="2"/>
        <v>1.1666666666666667</v>
      </c>
    </row>
    <row r="13" spans="1:17">
      <c r="A13" s="1">
        <v>45850</v>
      </c>
      <c r="B13" t="s">
        <v>18</v>
      </c>
      <c r="C13">
        <v>1</v>
      </c>
      <c r="D13" t="s">
        <v>14</v>
      </c>
      <c r="E13">
        <v>12</v>
      </c>
      <c r="F13">
        <v>1</v>
      </c>
      <c r="G13">
        <v>3</v>
      </c>
      <c r="H13">
        <v>0</v>
      </c>
      <c r="I13">
        <v>0</v>
      </c>
      <c r="J13">
        <v>0</v>
      </c>
      <c r="K13">
        <v>0</v>
      </c>
      <c r="L13">
        <f t="shared" si="5"/>
        <v>3</v>
      </c>
      <c r="M13">
        <v>1</v>
      </c>
      <c r="N13">
        <v>1</v>
      </c>
      <c r="O13">
        <v>0</v>
      </c>
      <c r="P13">
        <f t="shared" si="1"/>
        <v>3</v>
      </c>
      <c r="Q13">
        <f t="shared" si="2"/>
        <v>1</v>
      </c>
    </row>
    <row r="14" spans="1:17">
      <c r="A14" s="1">
        <v>45850</v>
      </c>
      <c r="B14" t="s">
        <v>17</v>
      </c>
      <c r="C14">
        <v>1</v>
      </c>
      <c r="D14" t="s">
        <v>14</v>
      </c>
      <c r="E14">
        <v>1</v>
      </c>
      <c r="F14">
        <v>1</v>
      </c>
      <c r="G14">
        <v>2</v>
      </c>
      <c r="H14">
        <v>0</v>
      </c>
      <c r="I14">
        <v>3</v>
      </c>
      <c r="J14">
        <v>0</v>
      </c>
      <c r="K14">
        <v>0</v>
      </c>
      <c r="L14">
        <f t="shared" si="5"/>
        <v>5</v>
      </c>
      <c r="M14">
        <v>1</v>
      </c>
      <c r="N14">
        <v>1</v>
      </c>
      <c r="O14">
        <v>0</v>
      </c>
      <c r="P14">
        <f t="shared" si="1"/>
        <v>5</v>
      </c>
      <c r="Q14">
        <f t="shared" si="2"/>
        <v>1.6666666666666667</v>
      </c>
    </row>
    <row r="15" spans="1:17">
      <c r="A15" s="1">
        <v>45850</v>
      </c>
      <c r="B15" t="s">
        <v>17</v>
      </c>
      <c r="C15">
        <v>1</v>
      </c>
      <c r="D15" t="s">
        <v>14</v>
      </c>
      <c r="E15">
        <v>2</v>
      </c>
      <c r="F15">
        <v>1</v>
      </c>
      <c r="G15">
        <v>4</v>
      </c>
      <c r="H15">
        <v>0</v>
      </c>
      <c r="I15">
        <v>2</v>
      </c>
      <c r="J15">
        <v>0</v>
      </c>
      <c r="K15">
        <v>0</v>
      </c>
      <c r="L15">
        <f t="shared" si="5"/>
        <v>6</v>
      </c>
      <c r="M15">
        <v>4</v>
      </c>
      <c r="N15">
        <v>2</v>
      </c>
      <c r="O15">
        <v>2</v>
      </c>
      <c r="P15">
        <f t="shared" si="1"/>
        <v>1.5</v>
      </c>
      <c r="Q15">
        <f t="shared" si="2"/>
        <v>0.5</v>
      </c>
    </row>
    <row r="16" spans="1:17">
      <c r="A16" s="1">
        <v>45850</v>
      </c>
      <c r="B16" t="s">
        <v>17</v>
      </c>
      <c r="C16">
        <v>1</v>
      </c>
      <c r="D16" t="s">
        <v>14</v>
      </c>
      <c r="E16">
        <v>3</v>
      </c>
      <c r="F16">
        <v>1</v>
      </c>
      <c r="G16">
        <v>2</v>
      </c>
      <c r="H16">
        <v>0</v>
      </c>
      <c r="I16">
        <v>0</v>
      </c>
      <c r="J16">
        <v>0</v>
      </c>
      <c r="K16">
        <v>0</v>
      </c>
      <c r="L16">
        <f t="shared" si="5"/>
        <v>2</v>
      </c>
      <c r="M16">
        <v>2</v>
      </c>
      <c r="N16">
        <v>2</v>
      </c>
      <c r="O16">
        <v>0</v>
      </c>
      <c r="P16">
        <f t="shared" si="1"/>
        <v>1</v>
      </c>
      <c r="Q16">
        <f t="shared" si="2"/>
        <v>0.33333333333333331</v>
      </c>
    </row>
    <row r="17" spans="1:17">
      <c r="A17" s="1">
        <v>45850</v>
      </c>
      <c r="B17" t="s">
        <v>17</v>
      </c>
      <c r="C17">
        <v>1</v>
      </c>
      <c r="D17" t="s">
        <v>14</v>
      </c>
      <c r="E17">
        <v>4</v>
      </c>
      <c r="F17">
        <v>1</v>
      </c>
      <c r="G17">
        <v>3</v>
      </c>
      <c r="H17">
        <v>0</v>
      </c>
      <c r="I17">
        <v>2</v>
      </c>
      <c r="J17">
        <v>0</v>
      </c>
      <c r="K17">
        <v>0</v>
      </c>
      <c r="L17">
        <f t="shared" si="5"/>
        <v>5</v>
      </c>
      <c r="M17">
        <v>2</v>
      </c>
      <c r="N17">
        <v>1</v>
      </c>
      <c r="O17">
        <v>1</v>
      </c>
      <c r="P17">
        <f t="shared" si="1"/>
        <v>2.5</v>
      </c>
      <c r="Q17">
        <f t="shared" si="2"/>
        <v>0.83333333333333337</v>
      </c>
    </row>
    <row r="18" spans="1:17">
      <c r="A18" s="1">
        <v>45850</v>
      </c>
      <c r="B18" t="s">
        <v>17</v>
      </c>
      <c r="C18">
        <v>1</v>
      </c>
      <c r="D18" t="s">
        <v>14</v>
      </c>
      <c r="E18">
        <v>5</v>
      </c>
      <c r="F18">
        <v>1</v>
      </c>
      <c r="G18">
        <v>3</v>
      </c>
      <c r="H18">
        <v>0</v>
      </c>
      <c r="I18">
        <v>2</v>
      </c>
      <c r="J18">
        <v>0</v>
      </c>
      <c r="K18">
        <v>0</v>
      </c>
      <c r="L18">
        <f t="shared" ref="L18:L29" si="6">SUM(G18:K18)</f>
        <v>5</v>
      </c>
      <c r="M18">
        <v>2</v>
      </c>
      <c r="N18">
        <v>1</v>
      </c>
      <c r="O18">
        <v>1</v>
      </c>
      <c r="P18">
        <f t="shared" ref="P18:P37" si="7">L18/M18</f>
        <v>2.5</v>
      </c>
      <c r="Q18">
        <f t="shared" ref="Q18:Q29" si="8">P18/3</f>
        <v>0.83333333333333337</v>
      </c>
    </row>
    <row r="19" spans="1:17">
      <c r="A19" s="1">
        <v>45850</v>
      </c>
      <c r="B19" t="s">
        <v>17</v>
      </c>
      <c r="C19">
        <v>1</v>
      </c>
      <c r="D19" t="s">
        <v>14</v>
      </c>
      <c r="E19">
        <v>6</v>
      </c>
      <c r="F19">
        <v>1</v>
      </c>
      <c r="G19">
        <v>3</v>
      </c>
      <c r="H19">
        <v>0</v>
      </c>
      <c r="I19">
        <v>0</v>
      </c>
      <c r="J19">
        <v>0</v>
      </c>
      <c r="K19">
        <v>0</v>
      </c>
      <c r="L19">
        <f t="shared" si="6"/>
        <v>3</v>
      </c>
      <c r="M19">
        <v>2</v>
      </c>
      <c r="N19">
        <v>2</v>
      </c>
      <c r="O19">
        <v>0</v>
      </c>
      <c r="P19">
        <f t="shared" si="7"/>
        <v>1.5</v>
      </c>
      <c r="Q19">
        <f t="shared" si="8"/>
        <v>0.5</v>
      </c>
    </row>
    <row r="20" spans="1:17">
      <c r="A20" s="1">
        <v>45850</v>
      </c>
      <c r="B20" t="s">
        <v>17</v>
      </c>
      <c r="C20">
        <v>1</v>
      </c>
      <c r="D20" t="s">
        <v>14</v>
      </c>
      <c r="E20">
        <v>7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6"/>
        <v>0</v>
      </c>
      <c r="M20">
        <v>1</v>
      </c>
      <c r="N20">
        <v>0</v>
      </c>
      <c r="O20">
        <v>1</v>
      </c>
      <c r="P20">
        <f t="shared" si="7"/>
        <v>0</v>
      </c>
      <c r="Q20">
        <f t="shared" si="8"/>
        <v>0</v>
      </c>
    </row>
    <row r="21" spans="1:17">
      <c r="A21" s="1">
        <v>45850</v>
      </c>
      <c r="B21" t="s">
        <v>17</v>
      </c>
      <c r="C21">
        <v>1</v>
      </c>
      <c r="D21" t="s">
        <v>14</v>
      </c>
      <c r="E21">
        <v>8</v>
      </c>
      <c r="F21">
        <v>1</v>
      </c>
      <c r="G21">
        <v>2</v>
      </c>
      <c r="H21">
        <v>0</v>
      </c>
      <c r="I21">
        <v>0</v>
      </c>
      <c r="J21">
        <v>0</v>
      </c>
      <c r="K21">
        <v>0</v>
      </c>
      <c r="L21">
        <f t="shared" si="6"/>
        <v>2</v>
      </c>
      <c r="M21">
        <v>1</v>
      </c>
      <c r="N21">
        <v>1</v>
      </c>
      <c r="O21">
        <v>0</v>
      </c>
      <c r="P21">
        <f t="shared" si="7"/>
        <v>2</v>
      </c>
      <c r="Q21">
        <f t="shared" si="8"/>
        <v>0.66666666666666663</v>
      </c>
    </row>
    <row r="22" spans="1:17">
      <c r="A22" s="1">
        <v>45850</v>
      </c>
      <c r="B22" t="s">
        <v>17</v>
      </c>
      <c r="C22">
        <v>1</v>
      </c>
      <c r="D22" t="s">
        <v>14</v>
      </c>
      <c r="E22">
        <v>9</v>
      </c>
      <c r="F22">
        <v>1</v>
      </c>
      <c r="G22">
        <v>0</v>
      </c>
      <c r="H22">
        <v>0</v>
      </c>
      <c r="I22">
        <v>2</v>
      </c>
      <c r="J22">
        <v>0</v>
      </c>
      <c r="K22">
        <v>0</v>
      </c>
      <c r="L22">
        <f t="shared" si="6"/>
        <v>2</v>
      </c>
      <c r="M22">
        <v>2</v>
      </c>
      <c r="N22">
        <v>2</v>
      </c>
      <c r="O22">
        <v>0</v>
      </c>
      <c r="P22">
        <f t="shared" si="7"/>
        <v>1</v>
      </c>
      <c r="Q22">
        <f t="shared" si="8"/>
        <v>0.33333333333333331</v>
      </c>
    </row>
    <row r="23" spans="1:17">
      <c r="A23" s="1">
        <v>45850</v>
      </c>
      <c r="B23" t="s">
        <v>17</v>
      </c>
      <c r="C23">
        <v>1</v>
      </c>
      <c r="D23" t="s">
        <v>14</v>
      </c>
      <c r="E23">
        <v>10</v>
      </c>
      <c r="F23">
        <v>1</v>
      </c>
      <c r="G23">
        <v>2</v>
      </c>
      <c r="H23">
        <v>0</v>
      </c>
      <c r="I23">
        <v>0</v>
      </c>
      <c r="J23">
        <v>0</v>
      </c>
      <c r="K23">
        <v>0</v>
      </c>
      <c r="L23">
        <f t="shared" si="6"/>
        <v>2</v>
      </c>
      <c r="M23">
        <v>1</v>
      </c>
      <c r="N23">
        <v>1</v>
      </c>
      <c r="O23">
        <v>0</v>
      </c>
      <c r="P23">
        <f t="shared" si="7"/>
        <v>2</v>
      </c>
      <c r="Q23">
        <f t="shared" si="8"/>
        <v>0.66666666666666663</v>
      </c>
    </row>
    <row r="24" spans="1:17">
      <c r="A24" s="1">
        <v>45850</v>
      </c>
      <c r="B24" t="s">
        <v>17</v>
      </c>
      <c r="C24">
        <v>1</v>
      </c>
      <c r="D24" t="s">
        <v>14</v>
      </c>
      <c r="E24">
        <v>11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6"/>
        <v>0</v>
      </c>
      <c r="M24">
        <v>2</v>
      </c>
      <c r="N24">
        <v>0</v>
      </c>
      <c r="O24">
        <v>2</v>
      </c>
      <c r="P24">
        <f t="shared" si="7"/>
        <v>0</v>
      </c>
      <c r="Q24">
        <f t="shared" si="8"/>
        <v>0</v>
      </c>
    </row>
    <row r="25" spans="1:17">
      <c r="A25" s="1">
        <v>45850</v>
      </c>
      <c r="B25" t="s">
        <v>17</v>
      </c>
      <c r="C25">
        <v>1</v>
      </c>
      <c r="D25" t="s">
        <v>14</v>
      </c>
      <c r="E25">
        <v>12</v>
      </c>
      <c r="F25">
        <v>1</v>
      </c>
      <c r="G25">
        <v>3</v>
      </c>
      <c r="H25">
        <v>0</v>
      </c>
      <c r="I25">
        <v>0</v>
      </c>
      <c r="J25">
        <v>0</v>
      </c>
      <c r="K25">
        <v>0</v>
      </c>
      <c r="L25">
        <f t="shared" si="6"/>
        <v>3</v>
      </c>
      <c r="M25">
        <v>2</v>
      </c>
      <c r="N25">
        <v>2</v>
      </c>
      <c r="O25">
        <v>0</v>
      </c>
      <c r="P25">
        <f t="shared" si="7"/>
        <v>1.5</v>
      </c>
      <c r="Q25">
        <f t="shared" si="8"/>
        <v>0.5</v>
      </c>
    </row>
    <row r="26" spans="1:17">
      <c r="A26" s="1">
        <v>45853</v>
      </c>
      <c r="B26" t="s">
        <v>17</v>
      </c>
      <c r="C26">
        <v>1</v>
      </c>
      <c r="D26" t="s">
        <v>14</v>
      </c>
      <c r="E26">
        <v>1</v>
      </c>
      <c r="F26">
        <v>2</v>
      </c>
      <c r="G26">
        <v>3</v>
      </c>
      <c r="H26">
        <v>0</v>
      </c>
      <c r="I26">
        <v>1</v>
      </c>
      <c r="J26">
        <v>0</v>
      </c>
      <c r="K26">
        <v>0</v>
      </c>
      <c r="L26">
        <f t="shared" si="6"/>
        <v>4</v>
      </c>
      <c r="M26">
        <v>2</v>
      </c>
      <c r="N26">
        <v>2</v>
      </c>
      <c r="O26">
        <v>0</v>
      </c>
      <c r="P26">
        <f t="shared" si="7"/>
        <v>2</v>
      </c>
      <c r="Q26">
        <f t="shared" si="8"/>
        <v>0.66666666666666663</v>
      </c>
    </row>
    <row r="27" spans="1:17">
      <c r="A27" s="1">
        <v>45853</v>
      </c>
      <c r="B27" t="s">
        <v>17</v>
      </c>
      <c r="C27">
        <v>1</v>
      </c>
      <c r="D27" t="s">
        <v>14</v>
      </c>
      <c r="E27">
        <v>2</v>
      </c>
      <c r="F27">
        <v>2</v>
      </c>
      <c r="G27">
        <v>3</v>
      </c>
      <c r="H27">
        <v>0</v>
      </c>
      <c r="I27">
        <v>2</v>
      </c>
      <c r="J27">
        <v>0</v>
      </c>
      <c r="K27">
        <v>0</v>
      </c>
      <c r="L27">
        <f t="shared" si="6"/>
        <v>5</v>
      </c>
      <c r="M27">
        <v>2</v>
      </c>
      <c r="N27">
        <v>2</v>
      </c>
      <c r="O27">
        <v>0</v>
      </c>
      <c r="P27">
        <f t="shared" si="7"/>
        <v>2.5</v>
      </c>
      <c r="Q27">
        <f t="shared" si="8"/>
        <v>0.83333333333333337</v>
      </c>
    </row>
    <row r="28" spans="1:17">
      <c r="A28" s="1">
        <v>45853</v>
      </c>
      <c r="B28" t="s">
        <v>17</v>
      </c>
      <c r="C28">
        <v>1</v>
      </c>
      <c r="D28" t="s">
        <v>14</v>
      </c>
      <c r="E28">
        <v>3</v>
      </c>
      <c r="F28">
        <v>2</v>
      </c>
      <c r="G28">
        <v>5</v>
      </c>
      <c r="H28">
        <v>0</v>
      </c>
      <c r="I28">
        <v>0</v>
      </c>
      <c r="J28">
        <v>0</v>
      </c>
      <c r="K28">
        <v>0</v>
      </c>
      <c r="L28">
        <f t="shared" si="6"/>
        <v>5</v>
      </c>
      <c r="M28">
        <v>2</v>
      </c>
      <c r="N28">
        <v>2</v>
      </c>
      <c r="O28">
        <v>0</v>
      </c>
      <c r="P28">
        <f t="shared" si="7"/>
        <v>2.5</v>
      </c>
      <c r="Q28">
        <f t="shared" si="8"/>
        <v>0.83333333333333337</v>
      </c>
    </row>
    <row r="29" spans="1:17">
      <c r="A29" s="1">
        <v>45853</v>
      </c>
      <c r="B29" t="s">
        <v>17</v>
      </c>
      <c r="C29">
        <v>1</v>
      </c>
      <c r="D29" t="s">
        <v>14</v>
      </c>
      <c r="E29">
        <v>4</v>
      </c>
      <c r="F29">
        <v>2</v>
      </c>
      <c r="G29">
        <v>5</v>
      </c>
      <c r="H29">
        <v>0</v>
      </c>
      <c r="I29">
        <v>1</v>
      </c>
      <c r="J29">
        <v>0</v>
      </c>
      <c r="K29">
        <v>0</v>
      </c>
      <c r="L29">
        <f t="shared" si="6"/>
        <v>6</v>
      </c>
      <c r="M29">
        <v>2</v>
      </c>
      <c r="N29">
        <v>1</v>
      </c>
      <c r="O29">
        <v>1</v>
      </c>
      <c r="P29">
        <f t="shared" si="7"/>
        <v>3</v>
      </c>
      <c r="Q29">
        <f t="shared" si="8"/>
        <v>1</v>
      </c>
    </row>
    <row r="30" spans="1:17">
      <c r="A30" s="1">
        <v>45853</v>
      </c>
      <c r="B30" t="s">
        <v>17</v>
      </c>
      <c r="C30">
        <v>1</v>
      </c>
      <c r="D30" t="s">
        <v>14</v>
      </c>
      <c r="E30">
        <v>5</v>
      </c>
      <c r="F30">
        <v>2</v>
      </c>
      <c r="G30">
        <v>5</v>
      </c>
      <c r="H30">
        <v>0</v>
      </c>
      <c r="I30">
        <v>1</v>
      </c>
      <c r="J30">
        <v>0</v>
      </c>
      <c r="K30">
        <v>0</v>
      </c>
      <c r="L30">
        <f t="shared" ref="L30:L41" si="9">SUM(G30:K30)</f>
        <v>6</v>
      </c>
      <c r="M30">
        <v>1</v>
      </c>
      <c r="N30">
        <v>1</v>
      </c>
      <c r="O30">
        <v>0</v>
      </c>
      <c r="P30">
        <f t="shared" si="7"/>
        <v>6</v>
      </c>
      <c r="Q30">
        <f t="shared" ref="Q30:Q41" si="10">P30/3</f>
        <v>2</v>
      </c>
    </row>
    <row r="31" spans="1:17">
      <c r="A31" s="1">
        <v>45853</v>
      </c>
      <c r="B31" t="s">
        <v>17</v>
      </c>
      <c r="C31">
        <v>1</v>
      </c>
      <c r="D31" t="s">
        <v>14</v>
      </c>
      <c r="E31">
        <v>6</v>
      </c>
      <c r="F31">
        <v>2</v>
      </c>
      <c r="G31">
        <v>1</v>
      </c>
      <c r="H31">
        <v>0</v>
      </c>
      <c r="I31">
        <v>1</v>
      </c>
      <c r="J31">
        <v>0</v>
      </c>
      <c r="K31">
        <v>0</v>
      </c>
      <c r="L31">
        <f t="shared" si="9"/>
        <v>2</v>
      </c>
      <c r="M31">
        <v>2</v>
      </c>
      <c r="N31">
        <v>2</v>
      </c>
      <c r="O31">
        <v>0</v>
      </c>
      <c r="P31">
        <f t="shared" si="7"/>
        <v>1</v>
      </c>
      <c r="Q31">
        <f t="shared" si="10"/>
        <v>0.33333333333333331</v>
      </c>
    </row>
    <row r="32" spans="1:17">
      <c r="A32" s="1">
        <v>45853</v>
      </c>
      <c r="B32" t="s">
        <v>17</v>
      </c>
      <c r="C32">
        <v>1</v>
      </c>
      <c r="D32" t="s">
        <v>14</v>
      </c>
      <c r="E32">
        <v>7</v>
      </c>
      <c r="F32">
        <v>2</v>
      </c>
      <c r="G32">
        <v>3</v>
      </c>
      <c r="H32">
        <v>0</v>
      </c>
      <c r="I32">
        <v>1</v>
      </c>
      <c r="J32">
        <v>0</v>
      </c>
      <c r="K32">
        <v>0</v>
      </c>
      <c r="L32">
        <f t="shared" si="9"/>
        <v>4</v>
      </c>
      <c r="M32">
        <v>1</v>
      </c>
      <c r="N32">
        <v>0</v>
      </c>
      <c r="O32">
        <v>1</v>
      </c>
      <c r="P32">
        <f t="shared" si="7"/>
        <v>4</v>
      </c>
      <c r="Q32">
        <f t="shared" si="10"/>
        <v>1.3333333333333333</v>
      </c>
    </row>
    <row r="33" spans="1:17">
      <c r="A33" s="1">
        <v>45853</v>
      </c>
      <c r="B33" t="s">
        <v>17</v>
      </c>
      <c r="C33">
        <v>1</v>
      </c>
      <c r="D33" t="s">
        <v>14</v>
      </c>
      <c r="E33">
        <v>8</v>
      </c>
      <c r="F33">
        <v>2</v>
      </c>
      <c r="G33">
        <v>7</v>
      </c>
      <c r="H33">
        <v>0</v>
      </c>
      <c r="I33">
        <v>0</v>
      </c>
      <c r="J33">
        <v>0</v>
      </c>
      <c r="K33">
        <v>0</v>
      </c>
      <c r="L33">
        <f t="shared" si="9"/>
        <v>7</v>
      </c>
      <c r="M33">
        <v>1</v>
      </c>
      <c r="N33">
        <v>0</v>
      </c>
      <c r="O33">
        <v>1</v>
      </c>
      <c r="P33">
        <f t="shared" si="7"/>
        <v>7</v>
      </c>
      <c r="Q33">
        <f t="shared" si="10"/>
        <v>2.3333333333333335</v>
      </c>
    </row>
    <row r="34" spans="1:17">
      <c r="A34" s="1">
        <v>45853</v>
      </c>
      <c r="B34" t="s">
        <v>17</v>
      </c>
      <c r="C34">
        <v>1</v>
      </c>
      <c r="D34" t="s">
        <v>14</v>
      </c>
      <c r="E34">
        <v>9</v>
      </c>
      <c r="F34">
        <v>2</v>
      </c>
      <c r="G34">
        <v>4</v>
      </c>
      <c r="H34">
        <v>0</v>
      </c>
      <c r="I34">
        <v>0</v>
      </c>
      <c r="J34">
        <v>0</v>
      </c>
      <c r="K34">
        <v>0</v>
      </c>
      <c r="L34">
        <f t="shared" si="9"/>
        <v>4</v>
      </c>
      <c r="M34">
        <v>1</v>
      </c>
      <c r="N34">
        <v>1</v>
      </c>
      <c r="O34">
        <v>0</v>
      </c>
      <c r="P34">
        <f t="shared" si="7"/>
        <v>4</v>
      </c>
      <c r="Q34">
        <f t="shared" si="10"/>
        <v>1.3333333333333333</v>
      </c>
    </row>
    <row r="35" spans="1:17">
      <c r="A35" s="1">
        <v>45853</v>
      </c>
      <c r="B35" t="s">
        <v>17</v>
      </c>
      <c r="C35">
        <v>1</v>
      </c>
      <c r="D35" t="s">
        <v>14</v>
      </c>
      <c r="E35">
        <v>10</v>
      </c>
      <c r="F35">
        <v>2</v>
      </c>
      <c r="G35">
        <v>7</v>
      </c>
      <c r="H35">
        <v>0</v>
      </c>
      <c r="I35">
        <v>1</v>
      </c>
      <c r="J35">
        <v>0</v>
      </c>
      <c r="K35">
        <v>0</v>
      </c>
      <c r="L35">
        <f t="shared" si="9"/>
        <v>8</v>
      </c>
      <c r="M35">
        <v>3</v>
      </c>
      <c r="N35">
        <v>2</v>
      </c>
      <c r="O35">
        <v>1</v>
      </c>
      <c r="P35">
        <f t="shared" si="7"/>
        <v>2.6666666666666665</v>
      </c>
      <c r="Q35">
        <f t="shared" si="10"/>
        <v>0.88888888888888884</v>
      </c>
    </row>
    <row r="36" spans="1:17">
      <c r="A36" s="1">
        <v>45853</v>
      </c>
      <c r="B36" t="s">
        <v>17</v>
      </c>
      <c r="C36">
        <v>1</v>
      </c>
      <c r="D36" t="s">
        <v>14</v>
      </c>
      <c r="E36">
        <v>11</v>
      </c>
      <c r="F36">
        <v>2</v>
      </c>
      <c r="G36">
        <v>6</v>
      </c>
      <c r="H36">
        <v>0</v>
      </c>
      <c r="I36">
        <v>0</v>
      </c>
      <c r="J36">
        <v>0</v>
      </c>
      <c r="K36">
        <v>0</v>
      </c>
      <c r="L36">
        <f t="shared" si="9"/>
        <v>6</v>
      </c>
      <c r="M36">
        <v>1</v>
      </c>
      <c r="N36">
        <v>1</v>
      </c>
      <c r="O36">
        <v>0</v>
      </c>
      <c r="P36">
        <f t="shared" si="7"/>
        <v>6</v>
      </c>
      <c r="Q36">
        <f t="shared" si="10"/>
        <v>2</v>
      </c>
    </row>
    <row r="37" spans="1:17">
      <c r="A37" s="1">
        <v>45853</v>
      </c>
      <c r="B37" t="s">
        <v>17</v>
      </c>
      <c r="C37">
        <v>1</v>
      </c>
      <c r="D37" t="s">
        <v>14</v>
      </c>
      <c r="E37">
        <v>12</v>
      </c>
      <c r="F37">
        <v>2</v>
      </c>
      <c r="G37">
        <v>4</v>
      </c>
      <c r="H37">
        <v>0</v>
      </c>
      <c r="I37">
        <v>0</v>
      </c>
      <c r="J37">
        <v>0</v>
      </c>
      <c r="K37">
        <v>0</v>
      </c>
      <c r="L37">
        <f t="shared" si="9"/>
        <v>4</v>
      </c>
      <c r="M37">
        <v>1</v>
      </c>
      <c r="N37">
        <v>0</v>
      </c>
      <c r="O37">
        <v>1</v>
      </c>
      <c r="P37">
        <f t="shared" si="7"/>
        <v>4</v>
      </c>
      <c r="Q37">
        <f t="shared" si="10"/>
        <v>1.3333333333333333</v>
      </c>
    </row>
    <row r="38" spans="1:17">
      <c r="A38" s="1">
        <v>45853</v>
      </c>
      <c r="B38" t="s">
        <v>18</v>
      </c>
      <c r="C38">
        <v>1</v>
      </c>
      <c r="D38" t="s">
        <v>14</v>
      </c>
      <c r="E38">
        <v>1</v>
      </c>
      <c r="F38">
        <v>2</v>
      </c>
      <c r="G38">
        <v>9</v>
      </c>
      <c r="H38">
        <v>0</v>
      </c>
      <c r="I38">
        <v>0</v>
      </c>
      <c r="J38">
        <v>0</v>
      </c>
      <c r="K38">
        <v>0</v>
      </c>
      <c r="L38">
        <f t="shared" si="9"/>
        <v>9</v>
      </c>
      <c r="M38">
        <v>1</v>
      </c>
      <c r="N38">
        <v>0</v>
      </c>
      <c r="O38">
        <v>1</v>
      </c>
      <c r="P38">
        <f t="shared" ref="P38:P49" si="11">L38/M38</f>
        <v>9</v>
      </c>
      <c r="Q38">
        <f t="shared" si="10"/>
        <v>3</v>
      </c>
    </row>
    <row r="39" spans="1:17">
      <c r="A39" s="1">
        <v>45853</v>
      </c>
      <c r="B39" t="s">
        <v>18</v>
      </c>
      <c r="C39">
        <v>1</v>
      </c>
      <c r="D39" t="s">
        <v>14</v>
      </c>
      <c r="E39">
        <v>2</v>
      </c>
      <c r="F39">
        <v>2</v>
      </c>
      <c r="G39">
        <v>11</v>
      </c>
      <c r="H39">
        <v>0</v>
      </c>
      <c r="I39">
        <v>1</v>
      </c>
      <c r="J39">
        <v>0</v>
      </c>
      <c r="K39">
        <v>0</v>
      </c>
      <c r="L39">
        <f t="shared" si="9"/>
        <v>12</v>
      </c>
      <c r="M39">
        <v>2</v>
      </c>
      <c r="N39">
        <v>1</v>
      </c>
      <c r="O39">
        <v>1</v>
      </c>
      <c r="P39">
        <f t="shared" si="11"/>
        <v>6</v>
      </c>
      <c r="Q39">
        <f t="shared" si="10"/>
        <v>2</v>
      </c>
    </row>
    <row r="40" spans="1:17">
      <c r="A40" s="1">
        <v>45853</v>
      </c>
      <c r="B40" t="s">
        <v>18</v>
      </c>
      <c r="C40">
        <v>1</v>
      </c>
      <c r="D40" t="s">
        <v>14</v>
      </c>
      <c r="E40">
        <v>3</v>
      </c>
      <c r="F40">
        <v>2</v>
      </c>
      <c r="G40">
        <v>12</v>
      </c>
      <c r="H40">
        <v>0</v>
      </c>
      <c r="I40">
        <v>2</v>
      </c>
      <c r="J40">
        <v>0</v>
      </c>
      <c r="K40">
        <v>0</v>
      </c>
      <c r="L40">
        <f t="shared" si="9"/>
        <v>14</v>
      </c>
      <c r="M40">
        <v>1</v>
      </c>
      <c r="N40">
        <v>1</v>
      </c>
      <c r="O40">
        <v>0</v>
      </c>
      <c r="P40">
        <f t="shared" si="11"/>
        <v>14</v>
      </c>
      <c r="Q40">
        <f t="shared" si="10"/>
        <v>4.666666666666667</v>
      </c>
    </row>
    <row r="41" spans="1:17">
      <c r="A41" s="1">
        <v>45853</v>
      </c>
      <c r="B41" t="s">
        <v>18</v>
      </c>
      <c r="C41">
        <v>1</v>
      </c>
      <c r="D41" t="s">
        <v>14</v>
      </c>
      <c r="E41">
        <v>4</v>
      </c>
      <c r="F41">
        <v>2</v>
      </c>
      <c r="G41">
        <v>11</v>
      </c>
      <c r="H41">
        <v>0</v>
      </c>
      <c r="I41">
        <v>1</v>
      </c>
      <c r="J41">
        <v>0</v>
      </c>
      <c r="K41">
        <v>0</v>
      </c>
      <c r="L41">
        <f t="shared" si="9"/>
        <v>12</v>
      </c>
      <c r="M41">
        <v>2</v>
      </c>
      <c r="N41">
        <v>1</v>
      </c>
      <c r="O41">
        <v>1</v>
      </c>
      <c r="P41">
        <f t="shared" si="11"/>
        <v>6</v>
      </c>
      <c r="Q41">
        <f t="shared" si="10"/>
        <v>2</v>
      </c>
    </row>
    <row r="42" spans="1:17">
      <c r="A42" s="1">
        <v>45853</v>
      </c>
      <c r="B42" t="s">
        <v>18</v>
      </c>
      <c r="C42">
        <v>1</v>
      </c>
      <c r="D42" t="s">
        <v>14</v>
      </c>
      <c r="E42">
        <v>5</v>
      </c>
      <c r="F42">
        <v>2</v>
      </c>
      <c r="G42">
        <v>7</v>
      </c>
      <c r="H42">
        <v>0</v>
      </c>
      <c r="I42">
        <v>0</v>
      </c>
      <c r="J42">
        <v>0</v>
      </c>
      <c r="K42">
        <v>0</v>
      </c>
      <c r="L42">
        <f t="shared" ref="L42:L49" si="12">SUM(G42:K42)</f>
        <v>7</v>
      </c>
      <c r="M42">
        <v>1</v>
      </c>
      <c r="N42">
        <v>0</v>
      </c>
      <c r="O42">
        <v>1</v>
      </c>
      <c r="P42">
        <f t="shared" si="11"/>
        <v>7</v>
      </c>
      <c r="Q42">
        <f t="shared" ref="Q42:Q49" si="13">P42/3</f>
        <v>2.3333333333333335</v>
      </c>
    </row>
    <row r="43" spans="1:17">
      <c r="A43" s="1">
        <v>45853</v>
      </c>
      <c r="B43" t="s">
        <v>18</v>
      </c>
      <c r="C43">
        <v>1</v>
      </c>
      <c r="D43" t="s">
        <v>14</v>
      </c>
      <c r="E43">
        <v>6</v>
      </c>
      <c r="F43">
        <v>2</v>
      </c>
      <c r="G43">
        <v>11</v>
      </c>
      <c r="H43">
        <v>0</v>
      </c>
      <c r="I43">
        <v>0</v>
      </c>
      <c r="J43">
        <v>0</v>
      </c>
      <c r="K43">
        <v>0</v>
      </c>
      <c r="L43">
        <f t="shared" si="12"/>
        <v>11</v>
      </c>
      <c r="M43">
        <v>1</v>
      </c>
      <c r="N43">
        <v>1</v>
      </c>
      <c r="O43">
        <v>0</v>
      </c>
      <c r="P43">
        <f t="shared" si="11"/>
        <v>11</v>
      </c>
      <c r="Q43">
        <f t="shared" si="13"/>
        <v>3.6666666666666665</v>
      </c>
    </row>
    <row r="44" spans="1:17">
      <c r="A44" s="1">
        <v>45853</v>
      </c>
      <c r="B44" t="s">
        <v>18</v>
      </c>
      <c r="C44">
        <v>1</v>
      </c>
      <c r="D44" t="s">
        <v>14</v>
      </c>
      <c r="E44">
        <v>7</v>
      </c>
      <c r="F44">
        <v>2</v>
      </c>
      <c r="G44">
        <v>8</v>
      </c>
      <c r="H44">
        <v>0</v>
      </c>
      <c r="I44">
        <v>0</v>
      </c>
      <c r="J44">
        <v>0</v>
      </c>
      <c r="K44">
        <v>0</v>
      </c>
      <c r="L44">
        <f t="shared" si="12"/>
        <v>8</v>
      </c>
      <c r="M44">
        <v>1</v>
      </c>
      <c r="N44">
        <v>0</v>
      </c>
      <c r="O44">
        <v>1</v>
      </c>
      <c r="P44">
        <f t="shared" si="11"/>
        <v>8</v>
      </c>
      <c r="Q44">
        <f t="shared" si="13"/>
        <v>2.6666666666666665</v>
      </c>
    </row>
    <row r="45" spans="1:17">
      <c r="A45" s="1">
        <v>45853</v>
      </c>
      <c r="B45" t="s">
        <v>18</v>
      </c>
      <c r="C45">
        <v>1</v>
      </c>
      <c r="D45" t="s">
        <v>14</v>
      </c>
      <c r="E45">
        <v>8</v>
      </c>
      <c r="F45">
        <v>2</v>
      </c>
      <c r="G45">
        <v>16</v>
      </c>
      <c r="H45">
        <v>0</v>
      </c>
      <c r="I45">
        <v>0</v>
      </c>
      <c r="J45">
        <v>0</v>
      </c>
      <c r="K45">
        <v>0</v>
      </c>
      <c r="L45">
        <f t="shared" si="12"/>
        <v>16</v>
      </c>
      <c r="M45">
        <v>3</v>
      </c>
      <c r="N45">
        <v>2</v>
      </c>
      <c r="O45">
        <v>1</v>
      </c>
      <c r="P45">
        <f t="shared" si="11"/>
        <v>5.333333333333333</v>
      </c>
      <c r="Q45">
        <f t="shared" si="13"/>
        <v>1.7777777777777777</v>
      </c>
    </row>
    <row r="46" spans="1:17">
      <c r="A46" s="1">
        <v>45853</v>
      </c>
      <c r="B46" t="s">
        <v>18</v>
      </c>
      <c r="C46">
        <v>1</v>
      </c>
      <c r="D46" t="s">
        <v>14</v>
      </c>
      <c r="E46">
        <v>9</v>
      </c>
      <c r="F46">
        <v>2</v>
      </c>
      <c r="G46">
        <v>5</v>
      </c>
      <c r="H46">
        <v>0</v>
      </c>
      <c r="I46">
        <v>0</v>
      </c>
      <c r="J46">
        <v>0</v>
      </c>
      <c r="K46">
        <v>0</v>
      </c>
      <c r="L46">
        <f t="shared" si="12"/>
        <v>5</v>
      </c>
      <c r="M46">
        <v>1</v>
      </c>
      <c r="N46">
        <v>1</v>
      </c>
      <c r="O46">
        <v>0</v>
      </c>
      <c r="P46">
        <f t="shared" si="11"/>
        <v>5</v>
      </c>
      <c r="Q46">
        <f t="shared" si="13"/>
        <v>1.6666666666666667</v>
      </c>
    </row>
    <row r="47" spans="1:17">
      <c r="A47" s="1">
        <v>45853</v>
      </c>
      <c r="B47" t="s">
        <v>18</v>
      </c>
      <c r="C47">
        <v>1</v>
      </c>
      <c r="D47" t="s">
        <v>14</v>
      </c>
      <c r="E47">
        <v>10</v>
      </c>
      <c r="F47">
        <v>2</v>
      </c>
      <c r="G47">
        <v>3</v>
      </c>
      <c r="H47">
        <v>0</v>
      </c>
      <c r="I47">
        <v>0</v>
      </c>
      <c r="J47">
        <v>0</v>
      </c>
      <c r="K47">
        <v>0</v>
      </c>
      <c r="L47">
        <f t="shared" si="12"/>
        <v>3</v>
      </c>
      <c r="M47">
        <v>1</v>
      </c>
      <c r="N47">
        <v>0</v>
      </c>
      <c r="O47">
        <v>1</v>
      </c>
      <c r="P47">
        <f t="shared" si="11"/>
        <v>3</v>
      </c>
      <c r="Q47">
        <f t="shared" si="13"/>
        <v>1</v>
      </c>
    </row>
    <row r="48" spans="1:17">
      <c r="A48" s="1">
        <v>45853</v>
      </c>
      <c r="B48" t="s">
        <v>18</v>
      </c>
      <c r="C48">
        <v>1</v>
      </c>
      <c r="D48" t="s">
        <v>14</v>
      </c>
      <c r="E48">
        <v>11</v>
      </c>
      <c r="F48">
        <v>2</v>
      </c>
      <c r="G48">
        <v>3</v>
      </c>
      <c r="H48">
        <v>0</v>
      </c>
      <c r="I48">
        <v>0</v>
      </c>
      <c r="J48">
        <v>0</v>
      </c>
      <c r="K48">
        <v>0</v>
      </c>
      <c r="L48">
        <f t="shared" si="12"/>
        <v>3</v>
      </c>
      <c r="M48">
        <v>1</v>
      </c>
      <c r="N48">
        <v>0</v>
      </c>
      <c r="O48">
        <v>1</v>
      </c>
      <c r="P48">
        <f t="shared" si="11"/>
        <v>3</v>
      </c>
      <c r="Q48">
        <f t="shared" si="13"/>
        <v>1</v>
      </c>
    </row>
    <row r="49" spans="1:17">
      <c r="A49" s="1">
        <v>45853</v>
      </c>
      <c r="B49" t="s">
        <v>18</v>
      </c>
      <c r="C49">
        <v>1</v>
      </c>
      <c r="D49" t="s">
        <v>14</v>
      </c>
      <c r="E49">
        <v>12</v>
      </c>
      <c r="F49">
        <v>2</v>
      </c>
      <c r="G49">
        <v>4</v>
      </c>
      <c r="H49">
        <v>1</v>
      </c>
      <c r="I49">
        <v>0</v>
      </c>
      <c r="J49">
        <v>0</v>
      </c>
      <c r="K49">
        <v>0</v>
      </c>
      <c r="L49">
        <f t="shared" si="12"/>
        <v>5</v>
      </c>
      <c r="M49">
        <v>1</v>
      </c>
      <c r="N49">
        <v>1</v>
      </c>
      <c r="O49">
        <v>0</v>
      </c>
      <c r="P49">
        <f t="shared" si="11"/>
        <v>5</v>
      </c>
      <c r="Q49">
        <f t="shared" si="13"/>
        <v>1.6666666666666667</v>
      </c>
    </row>
    <row r="50" spans="1:17">
      <c r="A50" s="1">
        <v>45860</v>
      </c>
      <c r="B50" t="s">
        <v>17</v>
      </c>
      <c r="C50">
        <v>1</v>
      </c>
      <c r="D50" t="s">
        <v>14</v>
      </c>
      <c r="E50" s="2">
        <v>1</v>
      </c>
      <c r="F50">
        <v>3</v>
      </c>
      <c r="G50">
        <v>4</v>
      </c>
      <c r="H50">
        <v>0</v>
      </c>
      <c r="I50">
        <v>2</v>
      </c>
      <c r="J50">
        <v>1</v>
      </c>
      <c r="K50">
        <v>0</v>
      </c>
      <c r="L50">
        <f>SUM(G50:K50)</f>
        <v>7</v>
      </c>
      <c r="M50">
        <v>1</v>
      </c>
      <c r="N50">
        <v>1</v>
      </c>
      <c r="O50">
        <v>0</v>
      </c>
      <c r="P50">
        <f t="shared" ref="P50:P56" si="14">L50/M50</f>
        <v>7</v>
      </c>
      <c r="Q50">
        <f t="shared" ref="Q50:Q56" si="15">P50/3</f>
        <v>2.3333333333333335</v>
      </c>
    </row>
    <row r="51" spans="1:17">
      <c r="A51" s="1">
        <v>45860</v>
      </c>
      <c r="B51" t="s">
        <v>17</v>
      </c>
      <c r="C51">
        <v>1</v>
      </c>
      <c r="D51" t="s">
        <v>14</v>
      </c>
      <c r="E51" s="2">
        <v>2</v>
      </c>
      <c r="F51">
        <v>3</v>
      </c>
      <c r="G51">
        <v>5</v>
      </c>
      <c r="H51">
        <v>0</v>
      </c>
      <c r="I51">
        <v>0</v>
      </c>
      <c r="J51">
        <v>1</v>
      </c>
      <c r="K51">
        <v>0</v>
      </c>
      <c r="L51">
        <f t="shared" ref="L51:L56" si="16">SUM(G51:K51)</f>
        <v>6</v>
      </c>
      <c r="M51">
        <v>1</v>
      </c>
      <c r="N51">
        <v>1</v>
      </c>
      <c r="O51">
        <v>0</v>
      </c>
      <c r="P51">
        <f t="shared" si="14"/>
        <v>6</v>
      </c>
      <c r="Q51">
        <f t="shared" si="15"/>
        <v>2</v>
      </c>
    </row>
    <row r="52" spans="1:17">
      <c r="A52" s="1">
        <v>45860</v>
      </c>
      <c r="B52" t="s">
        <v>17</v>
      </c>
      <c r="C52">
        <v>1</v>
      </c>
      <c r="D52" t="s">
        <v>14</v>
      </c>
      <c r="E52" s="2">
        <v>3</v>
      </c>
      <c r="F52">
        <v>3</v>
      </c>
      <c r="G52">
        <v>10</v>
      </c>
      <c r="H52">
        <v>0</v>
      </c>
      <c r="I52">
        <v>0</v>
      </c>
      <c r="J52">
        <v>0</v>
      </c>
      <c r="K52">
        <v>0</v>
      </c>
      <c r="L52">
        <f t="shared" si="16"/>
        <v>10</v>
      </c>
      <c r="M52">
        <v>1</v>
      </c>
      <c r="N52">
        <v>1</v>
      </c>
      <c r="O52">
        <v>0</v>
      </c>
      <c r="P52">
        <f t="shared" si="14"/>
        <v>10</v>
      </c>
      <c r="Q52">
        <f t="shared" si="15"/>
        <v>3.3333333333333335</v>
      </c>
    </row>
    <row r="53" spans="1:17">
      <c r="A53" s="1">
        <v>45860</v>
      </c>
      <c r="B53" t="s">
        <v>17</v>
      </c>
      <c r="C53">
        <v>1</v>
      </c>
      <c r="D53" t="s">
        <v>14</v>
      </c>
      <c r="E53" s="2">
        <v>4</v>
      </c>
      <c r="F53">
        <v>3</v>
      </c>
      <c r="G53">
        <v>9</v>
      </c>
      <c r="H53">
        <v>0</v>
      </c>
      <c r="I53">
        <v>0</v>
      </c>
      <c r="J53">
        <v>1</v>
      </c>
      <c r="K53">
        <v>0</v>
      </c>
      <c r="L53">
        <f t="shared" si="16"/>
        <v>10</v>
      </c>
      <c r="M53">
        <v>1</v>
      </c>
      <c r="N53">
        <v>1</v>
      </c>
      <c r="O53">
        <v>0</v>
      </c>
      <c r="P53">
        <f t="shared" si="14"/>
        <v>10</v>
      </c>
      <c r="Q53">
        <f t="shared" si="15"/>
        <v>3.3333333333333335</v>
      </c>
    </row>
    <row r="54" spans="1:17">
      <c r="A54" s="1">
        <v>45860</v>
      </c>
      <c r="B54" t="s">
        <v>17</v>
      </c>
      <c r="C54">
        <v>1</v>
      </c>
      <c r="D54" t="s">
        <v>14</v>
      </c>
      <c r="E54" s="2">
        <v>5</v>
      </c>
      <c r="F54">
        <v>3</v>
      </c>
      <c r="G54">
        <v>4</v>
      </c>
      <c r="H54">
        <v>0</v>
      </c>
      <c r="I54">
        <v>1</v>
      </c>
      <c r="J54">
        <v>0</v>
      </c>
      <c r="K54">
        <v>0</v>
      </c>
      <c r="L54">
        <f t="shared" si="16"/>
        <v>5</v>
      </c>
      <c r="M54">
        <v>1</v>
      </c>
      <c r="N54">
        <v>1</v>
      </c>
      <c r="O54">
        <v>0</v>
      </c>
      <c r="P54">
        <f t="shared" si="14"/>
        <v>5</v>
      </c>
      <c r="Q54">
        <f t="shared" si="15"/>
        <v>1.6666666666666667</v>
      </c>
    </row>
    <row r="55" spans="1:17">
      <c r="A55" s="1">
        <v>45860</v>
      </c>
      <c r="B55" t="s">
        <v>17</v>
      </c>
      <c r="C55">
        <v>1</v>
      </c>
      <c r="D55" t="s">
        <v>14</v>
      </c>
      <c r="E55" s="2">
        <v>6</v>
      </c>
      <c r="F55">
        <v>3</v>
      </c>
      <c r="G55">
        <v>1</v>
      </c>
      <c r="H55">
        <v>0</v>
      </c>
      <c r="I55">
        <v>2</v>
      </c>
      <c r="J55">
        <v>0</v>
      </c>
      <c r="K55">
        <v>0</v>
      </c>
      <c r="L55">
        <f t="shared" si="16"/>
        <v>3</v>
      </c>
      <c r="M55">
        <v>2</v>
      </c>
      <c r="N55">
        <v>1</v>
      </c>
      <c r="O55">
        <v>1</v>
      </c>
      <c r="P55">
        <f t="shared" si="14"/>
        <v>1.5</v>
      </c>
      <c r="Q55">
        <f t="shared" si="15"/>
        <v>0.5</v>
      </c>
    </row>
    <row r="56" spans="1:17">
      <c r="A56" s="1">
        <v>45860</v>
      </c>
      <c r="B56" t="s">
        <v>17</v>
      </c>
      <c r="C56">
        <v>1</v>
      </c>
      <c r="D56" t="s">
        <v>14</v>
      </c>
      <c r="E56" s="2">
        <v>7</v>
      </c>
      <c r="F56">
        <v>3</v>
      </c>
      <c r="G56">
        <v>6</v>
      </c>
      <c r="H56">
        <v>0</v>
      </c>
      <c r="I56">
        <v>1</v>
      </c>
      <c r="J56">
        <v>1</v>
      </c>
      <c r="K56">
        <v>0</v>
      </c>
      <c r="L56">
        <f t="shared" si="16"/>
        <v>8</v>
      </c>
      <c r="M56">
        <v>1</v>
      </c>
      <c r="N56">
        <v>1</v>
      </c>
      <c r="O56">
        <v>0</v>
      </c>
      <c r="P56">
        <f t="shared" si="14"/>
        <v>8</v>
      </c>
      <c r="Q56">
        <f t="shared" si="15"/>
        <v>2.6666666666666665</v>
      </c>
    </row>
    <row r="57" spans="1:17">
      <c r="A57" s="1">
        <v>45860</v>
      </c>
      <c r="B57" t="s">
        <v>17</v>
      </c>
      <c r="C57">
        <v>1</v>
      </c>
      <c r="D57" t="s">
        <v>14</v>
      </c>
      <c r="E57" s="2">
        <v>8</v>
      </c>
      <c r="F57">
        <v>3</v>
      </c>
      <c r="G57">
        <v>5</v>
      </c>
      <c r="H57">
        <v>0</v>
      </c>
      <c r="I57">
        <v>0</v>
      </c>
      <c r="J57">
        <v>0</v>
      </c>
      <c r="K57">
        <v>0</v>
      </c>
      <c r="L57">
        <f t="shared" ref="L57:L61" si="17">SUM(G57:K57)</f>
        <v>5</v>
      </c>
      <c r="M57">
        <v>1</v>
      </c>
      <c r="N57">
        <v>0</v>
      </c>
      <c r="O57">
        <v>1</v>
      </c>
      <c r="P57">
        <f t="shared" ref="P57:P61" si="18">L57/M57</f>
        <v>5</v>
      </c>
      <c r="Q57">
        <f t="shared" ref="Q57:Q61" si="19">P57/3</f>
        <v>1.6666666666666667</v>
      </c>
    </row>
    <row r="58" spans="1:17">
      <c r="A58" s="1">
        <v>45860</v>
      </c>
      <c r="B58" t="s">
        <v>17</v>
      </c>
      <c r="C58">
        <v>1</v>
      </c>
      <c r="D58" t="s">
        <v>14</v>
      </c>
      <c r="E58" s="2">
        <v>9</v>
      </c>
      <c r="F58">
        <v>3</v>
      </c>
      <c r="G58">
        <v>1</v>
      </c>
      <c r="H58">
        <v>0</v>
      </c>
      <c r="I58">
        <v>0</v>
      </c>
      <c r="J58">
        <v>0</v>
      </c>
      <c r="K58">
        <v>0</v>
      </c>
      <c r="L58">
        <f t="shared" si="17"/>
        <v>1</v>
      </c>
      <c r="M58">
        <v>1</v>
      </c>
      <c r="N58">
        <v>1</v>
      </c>
      <c r="O58">
        <v>0</v>
      </c>
      <c r="P58">
        <f t="shared" si="18"/>
        <v>1</v>
      </c>
      <c r="Q58">
        <f t="shared" si="19"/>
        <v>0.33333333333333331</v>
      </c>
    </row>
    <row r="59" spans="1:17">
      <c r="A59" s="1">
        <v>45860</v>
      </c>
      <c r="B59" t="s">
        <v>17</v>
      </c>
      <c r="C59">
        <v>1</v>
      </c>
      <c r="D59" t="s">
        <v>14</v>
      </c>
      <c r="E59" s="2">
        <v>10</v>
      </c>
      <c r="F59">
        <v>3</v>
      </c>
      <c r="G59">
        <v>3</v>
      </c>
      <c r="H59">
        <v>0</v>
      </c>
      <c r="I59">
        <v>0</v>
      </c>
      <c r="J59">
        <v>0</v>
      </c>
      <c r="K59">
        <v>0</v>
      </c>
      <c r="L59">
        <f t="shared" si="17"/>
        <v>3</v>
      </c>
      <c r="M59">
        <v>1</v>
      </c>
      <c r="N59">
        <v>0</v>
      </c>
      <c r="O59">
        <v>1</v>
      </c>
      <c r="P59">
        <f t="shared" si="18"/>
        <v>3</v>
      </c>
      <c r="Q59">
        <f t="shared" si="19"/>
        <v>1</v>
      </c>
    </row>
    <row r="60" spans="1:17">
      <c r="A60" s="1">
        <v>45860</v>
      </c>
      <c r="B60" t="s">
        <v>17</v>
      </c>
      <c r="C60">
        <v>1</v>
      </c>
      <c r="D60" t="s">
        <v>14</v>
      </c>
      <c r="E60" s="2">
        <v>11</v>
      </c>
      <c r="F60">
        <v>3</v>
      </c>
      <c r="G60">
        <v>6</v>
      </c>
      <c r="H60">
        <v>0</v>
      </c>
      <c r="I60">
        <v>2</v>
      </c>
      <c r="J60">
        <v>0</v>
      </c>
      <c r="K60">
        <v>0</v>
      </c>
      <c r="L60">
        <f t="shared" si="17"/>
        <v>8</v>
      </c>
      <c r="M60">
        <v>1</v>
      </c>
      <c r="N60">
        <v>1</v>
      </c>
      <c r="O60">
        <v>0</v>
      </c>
      <c r="P60">
        <f t="shared" si="18"/>
        <v>8</v>
      </c>
      <c r="Q60">
        <f t="shared" si="19"/>
        <v>2.6666666666666665</v>
      </c>
    </row>
    <row r="61" spans="1:17">
      <c r="A61" s="1">
        <v>45860</v>
      </c>
      <c r="B61" t="s">
        <v>17</v>
      </c>
      <c r="C61">
        <v>1</v>
      </c>
      <c r="D61" t="s">
        <v>14</v>
      </c>
      <c r="E61" s="2">
        <v>12</v>
      </c>
      <c r="F61">
        <v>3</v>
      </c>
      <c r="G61">
        <v>2</v>
      </c>
      <c r="H61">
        <v>0</v>
      </c>
      <c r="I61">
        <v>0</v>
      </c>
      <c r="J61">
        <v>0</v>
      </c>
      <c r="K61">
        <v>0</v>
      </c>
      <c r="L61">
        <f t="shared" si="17"/>
        <v>2</v>
      </c>
      <c r="M61">
        <v>1</v>
      </c>
      <c r="N61">
        <v>0</v>
      </c>
      <c r="O61">
        <v>1</v>
      </c>
      <c r="P61">
        <f t="shared" si="18"/>
        <v>2</v>
      </c>
      <c r="Q61">
        <f t="shared" si="19"/>
        <v>0.66666666666666663</v>
      </c>
    </row>
    <row r="62" spans="1:17">
      <c r="A62" s="1">
        <v>45860</v>
      </c>
      <c r="B62" t="s">
        <v>18</v>
      </c>
      <c r="C62">
        <v>1</v>
      </c>
      <c r="D62" t="s">
        <v>14</v>
      </c>
      <c r="E62" s="2">
        <v>1</v>
      </c>
      <c r="F62">
        <v>3</v>
      </c>
      <c r="G62">
        <v>11</v>
      </c>
      <c r="H62">
        <v>0</v>
      </c>
      <c r="I62">
        <v>0</v>
      </c>
      <c r="J62">
        <v>1</v>
      </c>
      <c r="K62">
        <v>0</v>
      </c>
      <c r="L62">
        <f t="shared" ref="L62:L74" si="20">SUM(G62:K62)</f>
        <v>12</v>
      </c>
      <c r="M62">
        <v>1</v>
      </c>
      <c r="N62">
        <v>1</v>
      </c>
      <c r="O62">
        <v>0</v>
      </c>
      <c r="P62">
        <f t="shared" ref="P62:P73" si="21">L62/M62</f>
        <v>12</v>
      </c>
      <c r="Q62">
        <f t="shared" ref="Q62:Q73" si="22">P62/3</f>
        <v>4</v>
      </c>
    </row>
    <row r="63" spans="1:17">
      <c r="A63" s="1">
        <v>45860</v>
      </c>
      <c r="B63" t="s">
        <v>18</v>
      </c>
      <c r="C63">
        <v>1</v>
      </c>
      <c r="D63" t="s">
        <v>14</v>
      </c>
      <c r="E63" s="2">
        <v>2</v>
      </c>
      <c r="F63">
        <v>3</v>
      </c>
      <c r="G63">
        <v>10</v>
      </c>
      <c r="H63">
        <v>0</v>
      </c>
      <c r="I63">
        <v>1</v>
      </c>
      <c r="J63">
        <v>0</v>
      </c>
      <c r="K63">
        <v>0</v>
      </c>
      <c r="L63">
        <f t="shared" si="20"/>
        <v>11</v>
      </c>
      <c r="M63">
        <v>2</v>
      </c>
      <c r="N63">
        <v>1</v>
      </c>
      <c r="O63">
        <v>1</v>
      </c>
      <c r="P63">
        <f t="shared" si="21"/>
        <v>5.5</v>
      </c>
      <c r="Q63">
        <f t="shared" si="22"/>
        <v>1.8333333333333333</v>
      </c>
    </row>
    <row r="64" spans="1:17">
      <c r="A64" s="1">
        <v>45860</v>
      </c>
      <c r="B64" t="s">
        <v>18</v>
      </c>
      <c r="C64">
        <v>1</v>
      </c>
      <c r="D64" t="s">
        <v>14</v>
      </c>
      <c r="E64" s="2">
        <v>3</v>
      </c>
      <c r="F64">
        <v>3</v>
      </c>
      <c r="G64">
        <v>10</v>
      </c>
      <c r="H64">
        <v>0</v>
      </c>
      <c r="I64">
        <v>0</v>
      </c>
      <c r="J64">
        <v>1</v>
      </c>
      <c r="K64">
        <v>0</v>
      </c>
      <c r="L64">
        <f t="shared" si="20"/>
        <v>11</v>
      </c>
      <c r="M64">
        <v>1</v>
      </c>
      <c r="N64">
        <v>1</v>
      </c>
      <c r="O64">
        <v>0</v>
      </c>
      <c r="P64">
        <f t="shared" si="21"/>
        <v>11</v>
      </c>
      <c r="Q64">
        <f t="shared" si="22"/>
        <v>3.6666666666666665</v>
      </c>
    </row>
    <row r="65" spans="1:17">
      <c r="A65" s="1">
        <v>45860</v>
      </c>
      <c r="B65" t="s">
        <v>18</v>
      </c>
      <c r="C65">
        <v>1</v>
      </c>
      <c r="D65" t="s">
        <v>14</v>
      </c>
      <c r="E65" s="2">
        <v>4</v>
      </c>
      <c r="F65">
        <v>3</v>
      </c>
      <c r="G65">
        <v>12</v>
      </c>
      <c r="H65">
        <v>0</v>
      </c>
      <c r="I65">
        <v>0</v>
      </c>
      <c r="J65">
        <v>0</v>
      </c>
      <c r="K65">
        <v>0</v>
      </c>
      <c r="L65">
        <f t="shared" si="20"/>
        <v>12</v>
      </c>
      <c r="M65">
        <v>1</v>
      </c>
      <c r="N65">
        <v>1</v>
      </c>
      <c r="O65">
        <v>0</v>
      </c>
      <c r="P65">
        <f t="shared" si="21"/>
        <v>12</v>
      </c>
      <c r="Q65">
        <f t="shared" si="22"/>
        <v>4</v>
      </c>
    </row>
    <row r="66" spans="1:17">
      <c r="A66" s="1">
        <v>45860</v>
      </c>
      <c r="B66" t="s">
        <v>18</v>
      </c>
      <c r="C66">
        <v>1</v>
      </c>
      <c r="D66" t="s">
        <v>14</v>
      </c>
      <c r="E66" s="2">
        <v>5</v>
      </c>
      <c r="F66">
        <v>3</v>
      </c>
      <c r="G66">
        <v>11</v>
      </c>
      <c r="H66">
        <v>0</v>
      </c>
      <c r="I66">
        <v>1</v>
      </c>
      <c r="J66">
        <v>0</v>
      </c>
      <c r="K66">
        <v>0</v>
      </c>
      <c r="L66">
        <f t="shared" si="20"/>
        <v>12</v>
      </c>
      <c r="M66">
        <v>1</v>
      </c>
      <c r="N66">
        <v>1</v>
      </c>
      <c r="O66">
        <v>0</v>
      </c>
      <c r="P66">
        <f t="shared" si="21"/>
        <v>12</v>
      </c>
      <c r="Q66">
        <f t="shared" si="22"/>
        <v>4</v>
      </c>
    </row>
    <row r="67" spans="1:17">
      <c r="A67" s="1">
        <v>45860</v>
      </c>
      <c r="B67" t="s">
        <v>18</v>
      </c>
      <c r="C67">
        <v>1</v>
      </c>
      <c r="D67" t="s">
        <v>14</v>
      </c>
      <c r="E67" s="2">
        <v>6</v>
      </c>
      <c r="F67">
        <v>3</v>
      </c>
      <c r="G67">
        <v>9</v>
      </c>
      <c r="H67">
        <v>0</v>
      </c>
      <c r="I67">
        <v>0</v>
      </c>
      <c r="J67">
        <v>0</v>
      </c>
      <c r="K67">
        <v>0</v>
      </c>
      <c r="L67">
        <f t="shared" si="20"/>
        <v>9</v>
      </c>
      <c r="M67">
        <v>1</v>
      </c>
      <c r="N67">
        <v>1</v>
      </c>
      <c r="O67">
        <v>0</v>
      </c>
      <c r="P67">
        <f t="shared" si="21"/>
        <v>9</v>
      </c>
      <c r="Q67">
        <f t="shared" si="22"/>
        <v>3</v>
      </c>
    </row>
    <row r="68" spans="1:17">
      <c r="A68" s="1">
        <v>45860</v>
      </c>
      <c r="B68" t="s">
        <v>18</v>
      </c>
      <c r="C68">
        <v>1</v>
      </c>
      <c r="D68" t="s">
        <v>14</v>
      </c>
      <c r="E68" s="2">
        <v>7</v>
      </c>
      <c r="F68">
        <v>3</v>
      </c>
      <c r="G68">
        <v>9</v>
      </c>
      <c r="H68">
        <v>0</v>
      </c>
      <c r="I68">
        <v>0</v>
      </c>
      <c r="J68">
        <v>0</v>
      </c>
      <c r="K68">
        <v>0</v>
      </c>
      <c r="L68">
        <f t="shared" si="20"/>
        <v>9</v>
      </c>
      <c r="M68">
        <v>1</v>
      </c>
      <c r="N68">
        <v>1</v>
      </c>
      <c r="O68">
        <v>0</v>
      </c>
      <c r="P68">
        <f t="shared" si="21"/>
        <v>9</v>
      </c>
      <c r="Q68">
        <f t="shared" si="22"/>
        <v>3</v>
      </c>
    </row>
    <row r="69" spans="1:17">
      <c r="A69" s="1">
        <v>45860</v>
      </c>
      <c r="B69" t="s">
        <v>18</v>
      </c>
      <c r="C69">
        <v>1</v>
      </c>
      <c r="D69" t="s">
        <v>14</v>
      </c>
      <c r="E69" s="2">
        <v>8</v>
      </c>
      <c r="F69">
        <v>3</v>
      </c>
      <c r="G69">
        <v>7</v>
      </c>
      <c r="H69">
        <v>0</v>
      </c>
      <c r="I69">
        <v>0</v>
      </c>
      <c r="J69">
        <v>0</v>
      </c>
      <c r="K69">
        <v>0</v>
      </c>
      <c r="L69">
        <f t="shared" si="20"/>
        <v>7</v>
      </c>
      <c r="M69">
        <v>1</v>
      </c>
      <c r="N69">
        <v>1</v>
      </c>
      <c r="O69">
        <v>0</v>
      </c>
      <c r="P69">
        <f t="shared" si="21"/>
        <v>7</v>
      </c>
      <c r="Q69">
        <f t="shared" si="22"/>
        <v>2.3333333333333335</v>
      </c>
    </row>
    <row r="70" spans="1:17">
      <c r="A70" s="1">
        <v>45860</v>
      </c>
      <c r="B70" t="s">
        <v>18</v>
      </c>
      <c r="C70">
        <v>1</v>
      </c>
      <c r="D70" t="s">
        <v>14</v>
      </c>
      <c r="E70" s="2">
        <v>9</v>
      </c>
      <c r="F70">
        <v>3</v>
      </c>
      <c r="G70">
        <v>11</v>
      </c>
      <c r="H70">
        <v>0</v>
      </c>
      <c r="I70">
        <v>0</v>
      </c>
      <c r="J70">
        <v>0</v>
      </c>
      <c r="K70">
        <v>0</v>
      </c>
      <c r="L70">
        <f t="shared" si="20"/>
        <v>11</v>
      </c>
      <c r="M70">
        <v>1</v>
      </c>
      <c r="N70">
        <v>1</v>
      </c>
      <c r="O70">
        <v>0</v>
      </c>
      <c r="P70">
        <f t="shared" si="21"/>
        <v>11</v>
      </c>
      <c r="Q70">
        <f t="shared" si="22"/>
        <v>3.6666666666666665</v>
      </c>
    </row>
    <row r="71" spans="1:17">
      <c r="A71" s="1">
        <v>45860</v>
      </c>
      <c r="B71" t="s">
        <v>18</v>
      </c>
      <c r="C71">
        <v>1</v>
      </c>
      <c r="D71" t="s">
        <v>14</v>
      </c>
      <c r="E71" s="2">
        <v>10</v>
      </c>
      <c r="F71">
        <v>3</v>
      </c>
      <c r="G71">
        <v>6</v>
      </c>
      <c r="H71">
        <v>0</v>
      </c>
      <c r="I71">
        <v>0</v>
      </c>
      <c r="J71">
        <v>0</v>
      </c>
      <c r="K71">
        <v>0</v>
      </c>
      <c r="L71">
        <f t="shared" si="20"/>
        <v>6</v>
      </c>
      <c r="M71">
        <v>2</v>
      </c>
      <c r="N71">
        <v>1</v>
      </c>
      <c r="O71">
        <v>1</v>
      </c>
      <c r="P71">
        <f t="shared" si="21"/>
        <v>3</v>
      </c>
      <c r="Q71">
        <f t="shared" si="22"/>
        <v>1</v>
      </c>
    </row>
    <row r="72" spans="1:17">
      <c r="A72" s="1">
        <v>45860</v>
      </c>
      <c r="B72" t="s">
        <v>18</v>
      </c>
      <c r="C72">
        <v>1</v>
      </c>
      <c r="D72" t="s">
        <v>14</v>
      </c>
      <c r="E72" s="2">
        <v>11</v>
      </c>
      <c r="F72">
        <v>3</v>
      </c>
      <c r="G72">
        <v>6</v>
      </c>
      <c r="H72">
        <v>0</v>
      </c>
      <c r="I72">
        <v>0</v>
      </c>
      <c r="J72">
        <v>0</v>
      </c>
      <c r="K72">
        <v>0</v>
      </c>
      <c r="L72">
        <f t="shared" si="20"/>
        <v>6</v>
      </c>
      <c r="M72">
        <v>2</v>
      </c>
      <c r="N72">
        <v>2</v>
      </c>
      <c r="O72">
        <v>0</v>
      </c>
      <c r="P72">
        <f t="shared" si="21"/>
        <v>3</v>
      </c>
      <c r="Q72">
        <f t="shared" si="22"/>
        <v>1</v>
      </c>
    </row>
    <row r="73" spans="1:17">
      <c r="A73" s="1">
        <v>45860</v>
      </c>
      <c r="B73" t="s">
        <v>18</v>
      </c>
      <c r="C73">
        <v>1</v>
      </c>
      <c r="D73" t="s">
        <v>14</v>
      </c>
      <c r="E73" s="2">
        <v>12</v>
      </c>
      <c r="F73">
        <v>3</v>
      </c>
      <c r="G73">
        <v>8</v>
      </c>
      <c r="H73">
        <v>0</v>
      </c>
      <c r="I73">
        <v>0</v>
      </c>
      <c r="J73">
        <v>0</v>
      </c>
      <c r="K73">
        <v>0</v>
      </c>
      <c r="L73">
        <f t="shared" si="20"/>
        <v>8</v>
      </c>
      <c r="M73">
        <v>1</v>
      </c>
      <c r="N73">
        <v>1</v>
      </c>
      <c r="O73">
        <v>0</v>
      </c>
      <c r="P73">
        <f t="shared" si="21"/>
        <v>8</v>
      </c>
      <c r="Q73">
        <f t="shared" si="22"/>
        <v>2.6666666666666665</v>
      </c>
    </row>
    <row r="74" spans="1:17">
      <c r="A74" s="1">
        <v>45875</v>
      </c>
      <c r="B74" t="s">
        <v>18</v>
      </c>
      <c r="C74">
        <v>2</v>
      </c>
      <c r="D74" t="s">
        <v>14</v>
      </c>
      <c r="E74" s="2">
        <v>1</v>
      </c>
      <c r="F74">
        <v>1</v>
      </c>
      <c r="G74">
        <v>10</v>
      </c>
      <c r="H74">
        <v>3</v>
      </c>
      <c r="I74">
        <v>1</v>
      </c>
      <c r="J74">
        <v>0</v>
      </c>
      <c r="K74">
        <v>0</v>
      </c>
      <c r="L74">
        <f t="shared" si="20"/>
        <v>14</v>
      </c>
      <c r="M74">
        <v>1</v>
      </c>
      <c r="N74">
        <v>0</v>
      </c>
      <c r="O74">
        <v>1</v>
      </c>
      <c r="P74">
        <f t="shared" ref="P74:P85" si="23">L74/M74</f>
        <v>14</v>
      </c>
      <c r="Q74">
        <f t="shared" ref="Q74:Q85" si="24">P74/3</f>
        <v>4.666666666666667</v>
      </c>
    </row>
    <row r="75" spans="1:17">
      <c r="A75" s="1">
        <v>45875</v>
      </c>
      <c r="B75" t="s">
        <v>18</v>
      </c>
      <c r="C75">
        <v>2</v>
      </c>
      <c r="D75" t="s">
        <v>14</v>
      </c>
      <c r="E75" s="2">
        <v>2</v>
      </c>
      <c r="F75">
        <v>1</v>
      </c>
      <c r="G75">
        <v>13</v>
      </c>
      <c r="H75">
        <v>7</v>
      </c>
      <c r="I75">
        <v>0</v>
      </c>
      <c r="J75">
        <v>0</v>
      </c>
      <c r="K75">
        <v>0</v>
      </c>
      <c r="L75">
        <f t="shared" ref="L75:L85" si="25">SUM(G75:K75)</f>
        <v>20</v>
      </c>
      <c r="M75">
        <v>3</v>
      </c>
      <c r="N75">
        <v>3</v>
      </c>
      <c r="O75">
        <v>0</v>
      </c>
      <c r="P75">
        <f t="shared" si="23"/>
        <v>6.666666666666667</v>
      </c>
      <c r="Q75">
        <f t="shared" si="24"/>
        <v>2.2222222222222223</v>
      </c>
    </row>
    <row r="76" spans="1:17">
      <c r="A76" s="1">
        <v>45875</v>
      </c>
      <c r="B76" t="s">
        <v>18</v>
      </c>
      <c r="C76">
        <v>2</v>
      </c>
      <c r="D76" t="s">
        <v>14</v>
      </c>
      <c r="E76" s="2">
        <v>3</v>
      </c>
      <c r="F76">
        <v>1</v>
      </c>
      <c r="G76">
        <v>7</v>
      </c>
      <c r="H76">
        <v>4</v>
      </c>
      <c r="I76">
        <v>0</v>
      </c>
      <c r="J76">
        <v>0</v>
      </c>
      <c r="K76">
        <v>0</v>
      </c>
      <c r="L76">
        <f t="shared" si="25"/>
        <v>11</v>
      </c>
      <c r="M76">
        <v>2</v>
      </c>
      <c r="N76">
        <v>1</v>
      </c>
      <c r="O76">
        <v>1</v>
      </c>
      <c r="P76">
        <f t="shared" si="23"/>
        <v>5.5</v>
      </c>
      <c r="Q76">
        <f t="shared" si="24"/>
        <v>1.8333333333333333</v>
      </c>
    </row>
    <row r="77" spans="1:17">
      <c r="A77" s="1">
        <v>45875</v>
      </c>
      <c r="B77" t="s">
        <v>18</v>
      </c>
      <c r="C77">
        <v>2</v>
      </c>
      <c r="D77" t="s">
        <v>14</v>
      </c>
      <c r="E77" s="2">
        <v>4</v>
      </c>
      <c r="F77">
        <v>1</v>
      </c>
      <c r="G77">
        <v>13</v>
      </c>
      <c r="H77">
        <v>2</v>
      </c>
      <c r="I77">
        <v>0</v>
      </c>
      <c r="J77">
        <v>0</v>
      </c>
      <c r="K77">
        <v>0</v>
      </c>
      <c r="L77">
        <f t="shared" si="25"/>
        <v>15</v>
      </c>
      <c r="M77">
        <v>1</v>
      </c>
      <c r="N77">
        <v>1</v>
      </c>
      <c r="O77">
        <v>0</v>
      </c>
      <c r="P77">
        <f t="shared" si="23"/>
        <v>15</v>
      </c>
      <c r="Q77">
        <f t="shared" si="24"/>
        <v>5</v>
      </c>
    </row>
    <row r="78" spans="1:17">
      <c r="A78" s="1">
        <v>45875</v>
      </c>
      <c r="B78" t="s">
        <v>18</v>
      </c>
      <c r="C78">
        <v>2</v>
      </c>
      <c r="D78" t="s">
        <v>14</v>
      </c>
      <c r="E78" s="2">
        <v>5</v>
      </c>
      <c r="F78">
        <v>1</v>
      </c>
      <c r="G78">
        <v>7</v>
      </c>
      <c r="H78">
        <v>2</v>
      </c>
      <c r="I78">
        <v>1</v>
      </c>
      <c r="J78">
        <v>0</v>
      </c>
      <c r="K78">
        <v>0</v>
      </c>
      <c r="L78">
        <f t="shared" si="25"/>
        <v>10</v>
      </c>
      <c r="M78">
        <v>1</v>
      </c>
      <c r="N78">
        <v>0</v>
      </c>
      <c r="O78">
        <v>1</v>
      </c>
      <c r="P78">
        <f t="shared" si="23"/>
        <v>10</v>
      </c>
      <c r="Q78">
        <f t="shared" si="24"/>
        <v>3.3333333333333335</v>
      </c>
    </row>
    <row r="79" spans="1:17">
      <c r="A79" s="1">
        <v>45875</v>
      </c>
      <c r="B79" t="s">
        <v>18</v>
      </c>
      <c r="C79">
        <v>2</v>
      </c>
      <c r="D79" t="s">
        <v>14</v>
      </c>
      <c r="E79" s="2">
        <v>6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f t="shared" si="25"/>
        <v>2</v>
      </c>
      <c r="M79">
        <v>1</v>
      </c>
      <c r="N79">
        <v>1</v>
      </c>
      <c r="O79">
        <v>0</v>
      </c>
      <c r="P79">
        <f t="shared" si="23"/>
        <v>2</v>
      </c>
      <c r="Q79">
        <f t="shared" si="24"/>
        <v>0.66666666666666663</v>
      </c>
    </row>
    <row r="80" spans="1:17">
      <c r="A80" s="1">
        <v>45875</v>
      </c>
      <c r="B80" t="s">
        <v>18</v>
      </c>
      <c r="C80">
        <v>2</v>
      </c>
      <c r="D80" t="s">
        <v>14</v>
      </c>
      <c r="E80" s="2">
        <v>7</v>
      </c>
      <c r="F80">
        <v>1</v>
      </c>
      <c r="G80">
        <v>7</v>
      </c>
      <c r="H80">
        <v>1</v>
      </c>
      <c r="I80">
        <v>0</v>
      </c>
      <c r="J80">
        <v>0</v>
      </c>
      <c r="K80">
        <v>0</v>
      </c>
      <c r="L80">
        <f t="shared" si="25"/>
        <v>8</v>
      </c>
      <c r="M80">
        <v>1</v>
      </c>
      <c r="N80">
        <v>1</v>
      </c>
      <c r="O80">
        <v>0</v>
      </c>
      <c r="P80">
        <f t="shared" si="23"/>
        <v>8</v>
      </c>
      <c r="Q80">
        <f t="shared" si="24"/>
        <v>2.6666666666666665</v>
      </c>
    </row>
    <row r="81" spans="1:17">
      <c r="A81" s="1">
        <v>45875</v>
      </c>
      <c r="B81" t="s">
        <v>18</v>
      </c>
      <c r="C81">
        <v>2</v>
      </c>
      <c r="D81" t="s">
        <v>14</v>
      </c>
      <c r="E81" s="2">
        <v>8</v>
      </c>
      <c r="F81">
        <v>1</v>
      </c>
      <c r="G81">
        <v>11</v>
      </c>
      <c r="H81">
        <v>1</v>
      </c>
      <c r="I81">
        <v>0</v>
      </c>
      <c r="J81">
        <v>0</v>
      </c>
      <c r="K81">
        <v>0</v>
      </c>
      <c r="L81">
        <f t="shared" si="25"/>
        <v>12</v>
      </c>
      <c r="M81">
        <v>1</v>
      </c>
      <c r="N81">
        <v>1</v>
      </c>
      <c r="O81">
        <v>0</v>
      </c>
      <c r="P81">
        <f t="shared" si="23"/>
        <v>12</v>
      </c>
      <c r="Q81">
        <f t="shared" si="24"/>
        <v>4</v>
      </c>
    </row>
    <row r="82" spans="1:17">
      <c r="A82" s="1">
        <v>45875</v>
      </c>
      <c r="B82" t="s">
        <v>18</v>
      </c>
      <c r="C82">
        <v>2</v>
      </c>
      <c r="D82" t="s">
        <v>14</v>
      </c>
      <c r="E82" s="2">
        <v>9</v>
      </c>
      <c r="F82">
        <v>1</v>
      </c>
      <c r="G82">
        <v>8</v>
      </c>
      <c r="H82">
        <v>3</v>
      </c>
      <c r="I82">
        <v>0</v>
      </c>
      <c r="J82">
        <v>0</v>
      </c>
      <c r="K82">
        <v>0</v>
      </c>
      <c r="L82">
        <f t="shared" si="25"/>
        <v>11</v>
      </c>
      <c r="M82">
        <v>1</v>
      </c>
      <c r="N82">
        <v>0</v>
      </c>
      <c r="O82">
        <v>1</v>
      </c>
      <c r="P82">
        <f t="shared" si="23"/>
        <v>11</v>
      </c>
      <c r="Q82">
        <f t="shared" si="24"/>
        <v>3.6666666666666665</v>
      </c>
    </row>
    <row r="83" spans="1:17">
      <c r="A83" s="1">
        <v>45875</v>
      </c>
      <c r="B83" t="s">
        <v>18</v>
      </c>
      <c r="C83">
        <v>2</v>
      </c>
      <c r="D83" t="s">
        <v>14</v>
      </c>
      <c r="E83" s="2">
        <v>10</v>
      </c>
      <c r="F83">
        <v>1</v>
      </c>
      <c r="G83">
        <v>10</v>
      </c>
      <c r="H83">
        <v>0</v>
      </c>
      <c r="I83">
        <v>2</v>
      </c>
      <c r="J83">
        <v>0</v>
      </c>
      <c r="K83">
        <v>0</v>
      </c>
      <c r="L83">
        <f t="shared" si="25"/>
        <v>12</v>
      </c>
      <c r="M83">
        <v>1</v>
      </c>
      <c r="N83">
        <v>1</v>
      </c>
      <c r="O83">
        <v>0</v>
      </c>
      <c r="P83">
        <f t="shared" si="23"/>
        <v>12</v>
      </c>
      <c r="Q83">
        <f t="shared" si="24"/>
        <v>4</v>
      </c>
    </row>
    <row r="84" spans="1:17">
      <c r="A84" s="1">
        <v>45875</v>
      </c>
      <c r="B84" t="s">
        <v>18</v>
      </c>
      <c r="C84">
        <v>2</v>
      </c>
      <c r="D84" t="s">
        <v>14</v>
      </c>
      <c r="E84" s="2">
        <v>11</v>
      </c>
      <c r="F84">
        <v>1</v>
      </c>
      <c r="G84">
        <v>5</v>
      </c>
      <c r="H84">
        <v>0</v>
      </c>
      <c r="I84">
        <v>0</v>
      </c>
      <c r="J84">
        <v>0</v>
      </c>
      <c r="K84">
        <v>0</v>
      </c>
      <c r="L84">
        <f t="shared" si="25"/>
        <v>5</v>
      </c>
      <c r="M84">
        <v>1</v>
      </c>
      <c r="N84">
        <v>1</v>
      </c>
      <c r="O84">
        <v>0</v>
      </c>
      <c r="P84">
        <f t="shared" si="23"/>
        <v>5</v>
      </c>
      <c r="Q84">
        <f t="shared" si="24"/>
        <v>1.6666666666666667</v>
      </c>
    </row>
    <row r="85" spans="1:17">
      <c r="A85" s="1">
        <v>45875</v>
      </c>
      <c r="B85" t="s">
        <v>18</v>
      </c>
      <c r="C85">
        <v>2</v>
      </c>
      <c r="D85" t="s">
        <v>14</v>
      </c>
      <c r="E85" s="2">
        <v>12</v>
      </c>
      <c r="F85">
        <v>1</v>
      </c>
      <c r="G85">
        <v>9</v>
      </c>
      <c r="H85">
        <v>1</v>
      </c>
      <c r="I85">
        <v>0</v>
      </c>
      <c r="J85">
        <v>0</v>
      </c>
      <c r="K85">
        <v>0</v>
      </c>
      <c r="L85">
        <f t="shared" si="25"/>
        <v>10</v>
      </c>
      <c r="M85">
        <v>1</v>
      </c>
      <c r="N85">
        <v>0</v>
      </c>
      <c r="O85">
        <v>1</v>
      </c>
      <c r="P85">
        <f t="shared" si="23"/>
        <v>10</v>
      </c>
      <c r="Q85">
        <f t="shared" si="24"/>
        <v>3.3333333333333335</v>
      </c>
    </row>
    <row r="86" spans="1:17">
      <c r="A86" s="1">
        <v>45875</v>
      </c>
      <c r="B86" t="s">
        <v>17</v>
      </c>
      <c r="C86">
        <v>2</v>
      </c>
      <c r="D86" t="s">
        <v>14</v>
      </c>
      <c r="E86" s="2">
        <v>1</v>
      </c>
      <c r="F86">
        <v>1</v>
      </c>
      <c r="G86">
        <v>5</v>
      </c>
      <c r="H86">
        <v>3</v>
      </c>
      <c r="I86">
        <v>0</v>
      </c>
      <c r="J86">
        <v>0</v>
      </c>
      <c r="K86">
        <v>0</v>
      </c>
      <c r="L86">
        <f t="shared" ref="L86:L97" si="26">SUM(G86:K86)</f>
        <v>8</v>
      </c>
      <c r="M86">
        <v>2</v>
      </c>
      <c r="N86">
        <v>2</v>
      </c>
      <c r="O86">
        <v>0</v>
      </c>
      <c r="P86">
        <f t="shared" ref="P86:P97" si="27">L86/M86</f>
        <v>4</v>
      </c>
      <c r="Q86">
        <f t="shared" ref="Q86:Q97" si="28">P86/3</f>
        <v>1.3333333333333333</v>
      </c>
    </row>
    <row r="87" spans="1:17">
      <c r="A87" s="1">
        <v>45875</v>
      </c>
      <c r="B87" t="s">
        <v>17</v>
      </c>
      <c r="C87">
        <v>2</v>
      </c>
      <c r="D87" t="s">
        <v>14</v>
      </c>
      <c r="E87" s="2">
        <v>2</v>
      </c>
      <c r="F87">
        <v>1</v>
      </c>
      <c r="G87">
        <v>8</v>
      </c>
      <c r="H87">
        <v>3</v>
      </c>
      <c r="I87">
        <v>0</v>
      </c>
      <c r="J87">
        <v>0</v>
      </c>
      <c r="K87">
        <v>0</v>
      </c>
      <c r="L87">
        <f t="shared" si="26"/>
        <v>11</v>
      </c>
      <c r="M87">
        <v>3</v>
      </c>
      <c r="N87">
        <v>1</v>
      </c>
      <c r="O87">
        <v>2</v>
      </c>
      <c r="P87">
        <f t="shared" si="27"/>
        <v>3.6666666666666665</v>
      </c>
      <c r="Q87">
        <f t="shared" si="28"/>
        <v>1.2222222222222221</v>
      </c>
    </row>
    <row r="88" spans="1:17">
      <c r="A88" s="1">
        <v>45875</v>
      </c>
      <c r="B88" t="s">
        <v>17</v>
      </c>
      <c r="C88">
        <v>2</v>
      </c>
      <c r="D88" t="s">
        <v>14</v>
      </c>
      <c r="E88" s="2">
        <v>3</v>
      </c>
      <c r="F88">
        <v>1</v>
      </c>
      <c r="G88">
        <v>4</v>
      </c>
      <c r="H88">
        <v>0</v>
      </c>
      <c r="I88">
        <v>0</v>
      </c>
      <c r="J88">
        <v>0</v>
      </c>
      <c r="K88">
        <v>0</v>
      </c>
      <c r="L88">
        <f t="shared" si="26"/>
        <v>4</v>
      </c>
      <c r="M88">
        <v>1</v>
      </c>
      <c r="N88">
        <v>1</v>
      </c>
      <c r="O88">
        <v>0</v>
      </c>
      <c r="P88">
        <f t="shared" si="27"/>
        <v>4</v>
      </c>
      <c r="Q88">
        <f t="shared" si="28"/>
        <v>1.3333333333333333</v>
      </c>
    </row>
    <row r="89" spans="1:17">
      <c r="A89" s="1">
        <v>45875</v>
      </c>
      <c r="B89" t="s">
        <v>17</v>
      </c>
      <c r="C89">
        <v>2</v>
      </c>
      <c r="D89" t="s">
        <v>14</v>
      </c>
      <c r="E89" s="2">
        <v>4</v>
      </c>
      <c r="F89">
        <v>1</v>
      </c>
      <c r="G89">
        <v>12</v>
      </c>
      <c r="H89">
        <v>1</v>
      </c>
      <c r="I89">
        <v>0</v>
      </c>
      <c r="J89">
        <v>0</v>
      </c>
      <c r="K89">
        <v>0</v>
      </c>
      <c r="L89">
        <f t="shared" si="26"/>
        <v>13</v>
      </c>
      <c r="M89">
        <v>3</v>
      </c>
      <c r="N89">
        <v>2</v>
      </c>
      <c r="O89">
        <v>1</v>
      </c>
      <c r="P89">
        <f t="shared" si="27"/>
        <v>4.333333333333333</v>
      </c>
      <c r="Q89">
        <f t="shared" si="28"/>
        <v>1.4444444444444444</v>
      </c>
    </row>
    <row r="90" spans="1:17">
      <c r="A90" s="1">
        <v>45875</v>
      </c>
      <c r="B90" t="s">
        <v>17</v>
      </c>
      <c r="C90">
        <v>2</v>
      </c>
      <c r="D90" t="s">
        <v>14</v>
      </c>
      <c r="E90" s="2">
        <v>5</v>
      </c>
      <c r="F90">
        <v>1</v>
      </c>
      <c r="G90">
        <v>12</v>
      </c>
      <c r="H90">
        <v>0</v>
      </c>
      <c r="I90">
        <v>0</v>
      </c>
      <c r="J90">
        <v>0</v>
      </c>
      <c r="K90">
        <v>0</v>
      </c>
      <c r="L90">
        <f t="shared" si="26"/>
        <v>12</v>
      </c>
      <c r="M90">
        <v>1</v>
      </c>
      <c r="N90">
        <v>0</v>
      </c>
      <c r="O90">
        <v>1</v>
      </c>
      <c r="P90">
        <f t="shared" si="27"/>
        <v>12</v>
      </c>
      <c r="Q90">
        <f t="shared" si="28"/>
        <v>4</v>
      </c>
    </row>
    <row r="91" spans="1:17">
      <c r="A91" s="1">
        <v>45875</v>
      </c>
      <c r="B91" t="s">
        <v>17</v>
      </c>
      <c r="C91">
        <v>2</v>
      </c>
      <c r="D91" t="s">
        <v>14</v>
      </c>
      <c r="E91" s="2">
        <v>6</v>
      </c>
      <c r="F91">
        <v>1</v>
      </c>
      <c r="G91">
        <v>10</v>
      </c>
      <c r="H91">
        <v>2</v>
      </c>
      <c r="I91">
        <v>0</v>
      </c>
      <c r="J91">
        <v>0</v>
      </c>
      <c r="K91">
        <v>0</v>
      </c>
      <c r="L91">
        <f t="shared" si="26"/>
        <v>12</v>
      </c>
      <c r="M91">
        <v>1</v>
      </c>
      <c r="N91">
        <v>1</v>
      </c>
      <c r="O91">
        <v>0</v>
      </c>
      <c r="P91">
        <f t="shared" si="27"/>
        <v>12</v>
      </c>
      <c r="Q91">
        <f t="shared" si="28"/>
        <v>4</v>
      </c>
    </row>
    <row r="92" spans="1:17">
      <c r="A92" s="1">
        <v>45875</v>
      </c>
      <c r="B92" t="s">
        <v>17</v>
      </c>
      <c r="C92">
        <v>2</v>
      </c>
      <c r="D92" t="s">
        <v>14</v>
      </c>
      <c r="E92" s="2">
        <v>7</v>
      </c>
      <c r="F92">
        <v>1</v>
      </c>
      <c r="G92">
        <v>10</v>
      </c>
      <c r="H92">
        <v>2</v>
      </c>
      <c r="I92">
        <v>3</v>
      </c>
      <c r="J92">
        <v>0</v>
      </c>
      <c r="K92">
        <v>0</v>
      </c>
      <c r="L92">
        <f t="shared" si="26"/>
        <v>15</v>
      </c>
      <c r="M92">
        <v>2</v>
      </c>
      <c r="N92">
        <v>2</v>
      </c>
      <c r="O92">
        <v>0</v>
      </c>
      <c r="P92">
        <f t="shared" si="27"/>
        <v>7.5</v>
      </c>
      <c r="Q92">
        <f t="shared" si="28"/>
        <v>2.5</v>
      </c>
    </row>
    <row r="93" spans="1:17">
      <c r="A93" s="1">
        <v>45875</v>
      </c>
      <c r="B93" t="s">
        <v>17</v>
      </c>
      <c r="C93">
        <v>2</v>
      </c>
      <c r="D93" t="s">
        <v>14</v>
      </c>
      <c r="E93" s="2">
        <v>8</v>
      </c>
      <c r="F93">
        <v>1</v>
      </c>
      <c r="G93">
        <v>7</v>
      </c>
      <c r="H93">
        <v>4</v>
      </c>
      <c r="I93">
        <v>0</v>
      </c>
      <c r="J93">
        <v>0</v>
      </c>
      <c r="K93">
        <v>0</v>
      </c>
      <c r="L93">
        <f t="shared" si="26"/>
        <v>11</v>
      </c>
      <c r="M93">
        <v>2</v>
      </c>
      <c r="N93">
        <v>1</v>
      </c>
      <c r="O93">
        <v>1</v>
      </c>
      <c r="P93">
        <f t="shared" si="27"/>
        <v>5.5</v>
      </c>
      <c r="Q93">
        <f t="shared" si="28"/>
        <v>1.8333333333333333</v>
      </c>
    </row>
    <row r="94" spans="1:17">
      <c r="A94" s="1">
        <v>45875</v>
      </c>
      <c r="B94" t="s">
        <v>17</v>
      </c>
      <c r="C94">
        <v>2</v>
      </c>
      <c r="D94" t="s">
        <v>14</v>
      </c>
      <c r="E94" s="2">
        <v>9</v>
      </c>
      <c r="F94">
        <v>1</v>
      </c>
      <c r="G94">
        <v>8</v>
      </c>
      <c r="H94">
        <v>1</v>
      </c>
      <c r="I94">
        <v>0</v>
      </c>
      <c r="J94">
        <v>0</v>
      </c>
      <c r="K94">
        <v>0</v>
      </c>
      <c r="L94">
        <f t="shared" si="26"/>
        <v>9</v>
      </c>
      <c r="M94">
        <v>2</v>
      </c>
      <c r="N94">
        <v>2</v>
      </c>
      <c r="O94">
        <v>0</v>
      </c>
      <c r="P94">
        <f t="shared" si="27"/>
        <v>4.5</v>
      </c>
      <c r="Q94">
        <f t="shared" si="28"/>
        <v>1.5</v>
      </c>
    </row>
    <row r="95" spans="1:17">
      <c r="A95" s="1">
        <v>45875</v>
      </c>
      <c r="B95" t="s">
        <v>17</v>
      </c>
      <c r="C95">
        <v>2</v>
      </c>
      <c r="D95" t="s">
        <v>14</v>
      </c>
      <c r="E95" s="2">
        <v>10</v>
      </c>
      <c r="F95">
        <v>1</v>
      </c>
      <c r="G95">
        <v>7</v>
      </c>
      <c r="H95">
        <v>0</v>
      </c>
      <c r="I95">
        <v>1</v>
      </c>
      <c r="J95">
        <v>0</v>
      </c>
      <c r="K95">
        <v>0</v>
      </c>
      <c r="L95">
        <f t="shared" si="26"/>
        <v>8</v>
      </c>
      <c r="M95">
        <v>2</v>
      </c>
      <c r="N95">
        <v>2</v>
      </c>
      <c r="O95">
        <v>0</v>
      </c>
      <c r="P95">
        <f t="shared" si="27"/>
        <v>4</v>
      </c>
      <c r="Q95">
        <f t="shared" si="28"/>
        <v>1.3333333333333333</v>
      </c>
    </row>
    <row r="96" spans="1:17">
      <c r="A96" s="1">
        <v>45875</v>
      </c>
      <c r="B96" t="s">
        <v>17</v>
      </c>
      <c r="C96">
        <v>2</v>
      </c>
      <c r="D96" t="s">
        <v>14</v>
      </c>
      <c r="E96" s="2">
        <v>11</v>
      </c>
      <c r="F96">
        <v>1</v>
      </c>
      <c r="G96">
        <v>5</v>
      </c>
      <c r="H96">
        <v>1</v>
      </c>
      <c r="I96">
        <v>0</v>
      </c>
      <c r="J96">
        <v>0</v>
      </c>
      <c r="K96">
        <v>0</v>
      </c>
      <c r="L96">
        <f t="shared" si="26"/>
        <v>6</v>
      </c>
      <c r="M96">
        <v>2</v>
      </c>
      <c r="N96">
        <v>2</v>
      </c>
      <c r="O96">
        <v>0</v>
      </c>
      <c r="P96">
        <f t="shared" si="27"/>
        <v>3</v>
      </c>
      <c r="Q96">
        <f t="shared" si="28"/>
        <v>1</v>
      </c>
    </row>
    <row r="97" spans="1:17">
      <c r="A97" s="1">
        <v>45875</v>
      </c>
      <c r="B97" t="s">
        <v>17</v>
      </c>
      <c r="C97">
        <v>2</v>
      </c>
      <c r="D97" t="s">
        <v>14</v>
      </c>
      <c r="E97" s="2">
        <v>12</v>
      </c>
      <c r="F97">
        <v>1</v>
      </c>
      <c r="G97">
        <v>10</v>
      </c>
      <c r="H97">
        <v>2</v>
      </c>
      <c r="I97">
        <v>0</v>
      </c>
      <c r="J97">
        <v>0</v>
      </c>
      <c r="K97">
        <v>0</v>
      </c>
      <c r="L97">
        <f t="shared" si="26"/>
        <v>12</v>
      </c>
      <c r="M97">
        <v>2</v>
      </c>
      <c r="N97">
        <v>1</v>
      </c>
      <c r="O97">
        <v>1</v>
      </c>
      <c r="P97">
        <f t="shared" si="27"/>
        <v>6</v>
      </c>
      <c r="Q97">
        <f t="shared" si="28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selection sqref="A1:XFD1"/>
    </sheetView>
  </sheetViews>
  <sheetFormatPr defaultRowHeight="14"/>
  <cols>
    <col min="1" max="1" width="13.58203125" bestFit="1" customWidth="1"/>
    <col min="2" max="2" width="63.33203125" bestFit="1" customWidth="1"/>
  </cols>
  <sheetData>
    <row r="1" spans="1:2">
      <c r="A1" s="3" t="s">
        <v>20</v>
      </c>
      <c r="B1" s="3" t="s">
        <v>21</v>
      </c>
    </row>
    <row r="2" spans="1:2">
      <c r="A2" t="s">
        <v>0</v>
      </c>
      <c r="B2" t="s">
        <v>22</v>
      </c>
    </row>
    <row r="3" spans="1:2">
      <c r="A3" t="s">
        <v>1</v>
      </c>
      <c r="B3" t="s">
        <v>23</v>
      </c>
    </row>
    <row r="4" spans="1:2">
      <c r="A4" t="s">
        <v>2</v>
      </c>
      <c r="B4" t="s">
        <v>37</v>
      </c>
    </row>
    <row r="5" spans="1:2">
      <c r="A5" t="s">
        <v>3</v>
      </c>
      <c r="B5" t="s">
        <v>24</v>
      </c>
    </row>
    <row r="6" spans="1:2">
      <c r="A6" t="s">
        <v>13</v>
      </c>
      <c r="B6" t="s">
        <v>38</v>
      </c>
    </row>
    <row r="7" spans="1:2">
      <c r="A7" t="s">
        <v>19</v>
      </c>
      <c r="B7" t="s">
        <v>25</v>
      </c>
    </row>
    <row r="8" spans="1:2">
      <c r="A8" t="s">
        <v>4</v>
      </c>
      <c r="B8" t="s">
        <v>26</v>
      </c>
    </row>
    <row r="9" spans="1:2">
      <c r="A9" t="s">
        <v>5</v>
      </c>
      <c r="B9" t="s">
        <v>27</v>
      </c>
    </row>
    <row r="10" spans="1:2">
      <c r="A10" t="s">
        <v>6</v>
      </c>
      <c r="B10" t="s">
        <v>28</v>
      </c>
    </row>
    <row r="11" spans="1:2">
      <c r="A11" t="s">
        <v>7</v>
      </c>
      <c r="B11" t="s">
        <v>29</v>
      </c>
    </row>
    <row r="12" spans="1:2">
      <c r="A12" t="s">
        <v>8</v>
      </c>
      <c r="B12" t="s">
        <v>30</v>
      </c>
    </row>
    <row r="13" spans="1:2">
      <c r="A13" t="s">
        <v>9</v>
      </c>
      <c r="B13" t="s">
        <v>31</v>
      </c>
    </row>
    <row r="14" spans="1:2">
      <c r="A14" t="s">
        <v>10</v>
      </c>
      <c r="B14" t="s">
        <v>32</v>
      </c>
    </row>
    <row r="15" spans="1:2">
      <c r="A15" t="s">
        <v>11</v>
      </c>
      <c r="B15" t="s">
        <v>33</v>
      </c>
    </row>
    <row r="16" spans="1:2">
      <c r="A16" t="s">
        <v>12</v>
      </c>
      <c r="B16" t="s">
        <v>34</v>
      </c>
    </row>
    <row r="17" spans="1:2">
      <c r="A17" t="s">
        <v>15</v>
      </c>
      <c r="B17" t="s">
        <v>35</v>
      </c>
    </row>
    <row r="18" spans="1:2">
      <c r="A18" t="s">
        <v>16</v>
      </c>
      <c r="B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Pollinator.Records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LEACH, ASHLEY</dc:creator>
  <cp:lastModifiedBy>Rosita</cp:lastModifiedBy>
  <dcterms:created xsi:type="dcterms:W3CDTF">2025-10-17T20:20:00Z</dcterms:created>
  <dcterms:modified xsi:type="dcterms:W3CDTF">2025-10-29T02:23:22Z</dcterms:modified>
</cp:coreProperties>
</file>